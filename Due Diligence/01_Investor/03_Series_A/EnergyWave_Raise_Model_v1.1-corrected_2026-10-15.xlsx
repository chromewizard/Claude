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Headcount" sheetId="3" state="visible" r:id="rId5"/>
    <sheet name="CostLines" sheetId="4" state="visible" r:id="rId6"/>
    <sheet name="Monthly" sheetId="5" state="visible" r:id="rId7"/>
    <sheet name="UseOfFunds" sheetId="6" state="visible" r:id="rId8"/>
    <sheet name="Pivot_Data" sheetId="7" state="visible" r:id="rId9"/>
    <sheet name="Entities" sheetId="8" state="visible" r:id="rId10"/>
    <sheet name="Roster" sheetId="9" state="visible" r:id="rId11"/>
    <sheet name="DD_Checklist" sheetId="10" state="visible" r:id="rId12"/>
  </sheets>
  <definedNames>
    <definedName function="false" hidden="false" name="DepositMonths" vbProcedure="false">Assumptions!$B$17</definedName>
    <definedName function="false" hidden="false" name="FinPhase1" vbProcedure="false">Assumptions!$B$19</definedName>
    <definedName function="false" hidden="false" name="FinPhase2" vbProcedure="false">Assumptions!$B$20</definedName>
    <definedName function="false" hidden="false" name="Gate1" vbProcedure="false">Assumptions!$B$11</definedName>
    <definedName function="false" hidden="false" name="Gate2" vbProcedure="false">Assumptions!$B$12</definedName>
    <definedName function="false" hidden="false" name="Gate3" vbProcedure="false">Assumptions!$B$13</definedName>
    <definedName function="false" hidden="false" name="Horizon" vbProcedure="false">Assumptions!$B$6</definedName>
    <definedName function="false" hidden="false" name="LoadPct" vbProcedure="false">Assumptions!$B$7</definedName>
    <definedName function="false" hidden="false" name="OptionPool" vbProcedure="false">Assumptions!$B$9</definedName>
    <definedName function="false" hidden="false" name="RaiseSize" vbProcedure="false">UseOfFunds!$C$6</definedName>
    <definedName function="false" hidden="false" name="RecruitFeePct" vbProcedure="false">Assumptions!$B$18</definedName>
    <definedName function="false" hidden="false" name="RelocDefault" vbProcedure="false">Assumptions!$B$8</definedName>
    <definedName function="false" hidden="false" name="RentMonthly" vbProcedure="false">Assumptions!$B$16</definedName>
    <definedName function="false" hidden="false" name="RentRate" vbProcedure="false">Assumptions!$B$15</definedName>
    <definedName function="false" hidden="false" name="RentSqFt" vbProcedure="false">Assumptions!$B$14</definedName>
    <definedName function="false" hidden="false" name="ReservePct" vbProcedure="false">Assumptions!$B$10</definedName>
    <definedName function="false" hidden="false" name="Scenario" vbProcedure="false">Assumptions!$B$4</definedName>
    <definedName function="false" hidden="false" name="ScenarioName" vbProcedure="false">Assumptions!$B$21</definedName>
    <definedName function="false" hidden="false" name="StartDate" vbProcedure="false">Assumptions!$B$5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<sst xmlns="http://schemas.openxmlformats.org/spreadsheetml/2006/main" count="977" uniqueCount="599">
  <si>
    <t xml:space="preserve">EnergyWave, Inc. — Next-Raise Budget, Forecast &amp; Due-Diligence Workbook  ·  v1  ·  2026-09-07</t>
  </si>
  <si>
    <t xml:space="preserve">Prepared for Ian McLean (Founder &amp; CEO) and the interim finance team (E57 Partners or equivalent). Driver-based, 36-month, scenario-switched.</t>
  </si>
  <si>
    <t xml:space="preserve">WHAT THIS IS</t>
  </si>
  <si>
    <t xml:space="preserve">A monthly cash-need plan for EnergyWave, Inc. only. It computes the raise size from the plan (headcount + lab + equipment + G&amp;A + reserve) and tranches it by the three research gates, so the packet shows dollars tied to milestones rather than an open-ended ask.</t>
  </si>
  <si>
    <t xml:space="preserve">It contains NO device performance claims and NO technical specifications. Nothing in this file is a statement about what any configuration under test does.</t>
  </si>
  <si>
    <t xml:space="preserve">CONVENTIONS</t>
  </si>
  <si>
    <t xml:space="preserve">Blue text = input you can change.  Black = formula (do not overwrite).  Green = link to another sheet.  Yellow fill = key lever / headline output.</t>
  </si>
  <si>
    <t xml:space="preserve">Every dollar input carries an 'Input status': 'From Ian' = number Ian gave; 'Placeholder' = my estimate to be validated by finance; 'Formula' = computed. Treat every Placeholder as unvalidated.</t>
  </si>
  <si>
    <t xml:space="preserve">Scenario lever: Assumptions!B4  (1 = Lean, 2 = Base, 3 = Full). It changes start months and equipment tiers everywhere; nothing else needs touching.</t>
  </si>
  <si>
    <t xml:space="preserve">SHEETS</t>
  </si>
  <si>
    <t xml:space="preserve">Assumptions — global drivers (scenario, start date, payroll load, reserve %, gate months, rent, recruiting fee, outsourced-finance fees).</t>
  </si>
  <si>
    <t xml:space="preserve">Headcount — every role with base, load flag, relocation, equity note, start month by scenario, monthly cost, 36-month total.</t>
  </si>
  <si>
    <t xml:space="preserve">CostLines — every non-payroll line with Lean/Base/Full amounts, type (Monthly / One-time / Annual), start month by scenario, duration.</t>
  </si>
  <si>
    <t xml:space="preserve">Monthly — the 36-column engine: one row per line, category totals, cumulative spend, reserve, cumulative need, cash remaining, integrity check.</t>
  </si>
  <si>
    <t xml:space="preserve">UseOfFunds — packet page: raise size, category × year table, gate tranches, one-time vs recurring, people on plan, model checks.</t>
  </si>
  <si>
    <t xml:space="preserve">Pivot_Data — long-format table (tblPivotData) of every line × month. PivotTable-ready: click any cell → Insert → PivotTable → Rows: Category, Columns: Month, Values: Sum of Amount.</t>
  </si>
  <si>
    <t xml:space="preserve">Entities — entity &amp; funds-flow map for all five entities plus the escrow counterparty, with the control that has to exist for each.</t>
  </si>
  <si>
    <t xml:space="preserve">Roster — team, advisors, counsel, and proposed vendors, with the bio claims that must be verified before anything goes in the packet.</t>
  </si>
  <si>
    <t xml:space="preserve">DD_Checklist — data-room index with owner and status (Have / In progress / Need / Blocked).</t>
  </si>
  <si>
    <t xml:space="preserve">KNOWN LIMITS</t>
  </si>
  <si>
    <t xml:space="preserve">Native PivotTable objects cannot be authored programmatically; Pivot_Data is built so one is two clicks away in Excel. Category views on Monthly and UseOfFunds replicate the standard pivots.</t>
  </si>
  <si>
    <t xml:space="preserve">Horizon is fixed at 36 columns. GovThink Institute and pinnacle.blog budgets are out of scope (donation/grant funded, not this raise); the Intercompany line is held at $0 and BLOCKED pending counsel.</t>
  </si>
  <si>
    <t xml:space="preserve">Equity (option pool, advisor grants, SPV look-through) is non-cash and lives on the cap table, not here. Option pool % is recorded on Assumptions for the packet only.</t>
  </si>
  <si>
    <t xml:space="preserve">TOP OPEN ITEMS FOR FINANCE</t>
  </si>
  <si>
    <t xml:space="preserve">1. Confirm the theoretical-physicist consulting figure: modeled as $500k/yr EACH (two agreements). If Ian meant $500k total, halve H08–H09.</t>
  </si>
  <si>
    <t xml:space="preserve">2. Validate every Placeholder: founder salary, engineer bases, rent, build-out, instrumentation package, precision AM system, insurance, recruiting.</t>
  </si>
  <si>
    <t xml:space="preserve">3. Verify escrow: agreement, escrow agent, bank, release conditions — confirmed directly with the bank, not through the introducer. No fees to release funds.</t>
  </si>
  <si>
    <t xml:space="preserve">4. Wyoming LLC pooling vehicle: securities structure (Johnson), manager/fees/conflicts, look-through schedule for the cap table.</t>
  </si>
  <si>
    <t xml:space="preserve">5. UCI / NFCRC: the cost line only exists if an agreement is executed; proximity alone offsets nothing.</t>
  </si>
  <si>
    <t xml:space="preserve">6. Intercompany line stays $0 until Novak confirms the arms-length structure for both nonprofits.</t>
  </si>
  <si>
    <t xml:space="preserve">Assumptions — global drivers</t>
  </si>
  <si>
    <t xml:space="preserve">Blue = input. Yellow = scenario lever / headline. Status column says where each number came from.</t>
  </si>
  <si>
    <t xml:space="preserve">Driver</t>
  </si>
  <si>
    <t xml:space="preserve">Value</t>
  </si>
  <si>
    <t xml:space="preserve">Unit / notes</t>
  </si>
  <si>
    <t xml:space="preserve">Input status</t>
  </si>
  <si>
    <t xml:space="preserve">Scenario (1 = Lean, 2 = Base, 3 = Full)</t>
  </si>
  <si>
    <t xml:space="preserve">Drives start months and equipment tiers everywhere</t>
  </si>
  <si>
    <t xml:space="preserve">Lever</t>
  </si>
  <si>
    <t xml:space="preserve">Model start (month 1)</t>
  </si>
  <si>
    <t xml:space="preserve">First month of spend after close — change freely</t>
  </si>
  <si>
    <t xml:space="preserve">Placeholder</t>
  </si>
  <si>
    <t xml:space="preserve">Horizon (months) — fixed by layout</t>
  </si>
  <si>
    <t xml:space="preserve">Monthly sheet has 36 columns; do not change</t>
  </si>
  <si>
    <t xml:space="preserve">Fixed</t>
  </si>
  <si>
    <t xml:space="preserve">Payroll load (benefits + employer taxes)</t>
  </si>
  <si>
    <t xml:space="preserve">Applied to W-2 base only</t>
  </si>
  <si>
    <t xml:space="preserve">Default relocation per relocating hire</t>
  </si>
  <si>
    <t xml:space="preserve">Applied to the five applied-physicist hires; override per row on Headcount</t>
  </si>
  <si>
    <t xml:space="preserve">Option pool (% fully diluted) — non-cash</t>
  </si>
  <si>
    <t xml:space="preserve">Cap-table item, not a cash line; recorded for the packet</t>
  </si>
  <si>
    <t xml:space="preserve">Reserve / contingency (% of plan spend)</t>
  </si>
  <si>
    <t xml:space="preserve">Added to plan spend to size the raise</t>
  </si>
  <si>
    <t xml:space="preserve">Gate 1 — Characterize complete (month)</t>
  </si>
  <si>
    <t xml:space="preserve">Three-gate protocol milestone; drives tranche table</t>
  </si>
  <si>
    <t xml:space="preserve">Gate 2 — Conservation test complete (month)</t>
  </si>
  <si>
    <t xml:space="preserve">Gate 3 — Extract or retire, published (month)</t>
  </si>
  <si>
    <t xml:space="preserve">Facility size (sq ft)</t>
  </si>
  <si>
    <t xml:space="preserve">Office + lab near UCI (University Research Park, Irvine)</t>
  </si>
  <si>
    <t xml:space="preserve">Facility rate ($ per sq ft per month, full service)</t>
  </si>
  <si>
    <t xml:space="preserve">Verify current University Research Park asking rates; lab-grade space runs higher</t>
  </si>
  <si>
    <t xml:space="preserve">Facility rent (monthly)</t>
  </si>
  <si>
    <t xml:space="preserve">Formula</t>
  </si>
  <si>
    <t xml:space="preserve">Security deposit (months of rent)</t>
  </si>
  <si>
    <t xml:space="preserve">Recruiting fee (% of first-year base, search firm)</t>
  </si>
  <si>
    <t xml:space="preserve">Applied to the five applied-physicist hires</t>
  </si>
  <si>
    <t xml:space="preserve">Outsourced finance (E57 or equivalent) — months 1–6</t>
  </si>
  <si>
    <t xml:space="preserve">FP&amp;A build + fractional controller, build phase; get E57's actual quote</t>
  </si>
  <si>
    <t xml:space="preserve">Outsourced finance — month 7 onward</t>
  </si>
  <si>
    <t xml:space="preserve">Maintenance phase</t>
  </si>
  <si>
    <t xml:space="preserve">Scenario name</t>
  </si>
  <si>
    <t xml:space="preserve">Headcount &amp; consulting plan</t>
  </si>
  <si>
    <t xml:space="preserve">Blue = input. Start month = first month of cost (1 = model start). Equity is non-cash (cap table). 'Load?' = Y applies payroll load to base.</t>
  </si>
  <si>
    <t xml:space="preserve">ID</t>
  </si>
  <si>
    <t xml:space="preserve">Role</t>
  </si>
  <si>
    <t xml:space="preserve">Person / status</t>
  </si>
  <si>
    <t xml:space="preserve">Entity</t>
  </si>
  <si>
    <t xml:space="preserve">Type</t>
  </si>
  <si>
    <t xml:space="preserve">Annual base ($)</t>
  </si>
  <si>
    <t xml:space="preserve">Load? (Y/N)</t>
  </si>
  <si>
    <t xml:space="preserve">Relocation ($, one-time)</t>
  </si>
  <si>
    <t xml:space="preserve">Equity (non-cash)</t>
  </si>
  <si>
    <t xml:space="preserve">Start — Lean</t>
  </si>
  <si>
    <t xml:space="preserve">Start — Base</t>
  </si>
  <si>
    <t xml:space="preserve">Start — Full</t>
  </si>
  <si>
    <t xml:space="preserve">Start (selected)</t>
  </si>
  <si>
    <t xml:space="preserve">Monthly cost ($)</t>
  </si>
  <si>
    <t xml:space="preserve">36-mo total ($)</t>
  </si>
  <si>
    <t xml:space="preserve">Discipline target / notes</t>
  </si>
  <si>
    <t xml:space="preserve">H01</t>
  </si>
  <si>
    <t xml:space="preserve">Founder &amp; CEO</t>
  </si>
  <si>
    <t xml:space="preserve">Ian F. McLean</t>
  </si>
  <si>
    <t xml:space="preserve">EnergyWave, Inc.</t>
  </si>
  <si>
    <t xml:space="preserve">W-2</t>
  </si>
  <si>
    <t xml:space="preserve">Y</t>
  </si>
  <si>
    <t xml:space="preserve">Founder</t>
  </si>
  <si>
    <t xml:space="preserve">Founder salary — set to an investor-acceptable level; pre-seed SAFE covered runway</t>
  </si>
  <si>
    <t xml:space="preserve">H02</t>
  </si>
  <si>
    <t xml:space="preserve">Co-founder / Research Director (part-time)</t>
  </si>
  <si>
    <t xml:space="preserve">Kenneth "Chip" Story</t>
  </si>
  <si>
    <t xml:space="preserve">1099</t>
  </si>
  <si>
    <t xml:space="preserve">N</t>
  </si>
  <si>
    <t xml:space="preserve">Confirm role, time commitment, cash vs. equity; document ZPEPG boundary (IP, conflicts)</t>
  </si>
  <si>
    <t xml:space="preserve">H03</t>
  </si>
  <si>
    <t xml:space="preserve">Applied Physicist 1</t>
  </si>
  <si>
    <t xml:space="preserve">Open requisition</t>
  </si>
  <si>
    <t xml:space="preserve">Pool</t>
  </si>
  <si>
    <t xml:space="preserve">Physics + mathematics + neuroscience (Ian's target mix)</t>
  </si>
  <si>
    <t xml:space="preserve">From Ian (base); reloc placeholder</t>
  </si>
  <si>
    <t xml:space="preserve">H04</t>
  </si>
  <si>
    <t xml:space="preserve">Applied Physicist 2</t>
  </si>
  <si>
    <t xml:space="preserve">Physics + mechanical engineering + materials science</t>
  </si>
  <si>
    <t xml:space="preserve">H05</t>
  </si>
  <si>
    <t xml:space="preserve">Applied Physicist 3</t>
  </si>
  <si>
    <t xml:space="preserve">Physics + materials science; calorimetry / thermal measurement</t>
  </si>
  <si>
    <t xml:space="preserve">H06</t>
  </si>
  <si>
    <t xml:space="preserve">Applied Physicist 4</t>
  </si>
  <si>
    <t xml:space="preserve">Physics + electrical engineering; power electronics, precision measurement</t>
  </si>
  <si>
    <t xml:space="preserve">H07</t>
  </si>
  <si>
    <t xml:space="preserve">Applied Physicist 5</t>
  </si>
  <si>
    <t xml:space="preserve">Physics + mathematics; statistics, null-result experimental design</t>
  </si>
  <si>
    <t xml:space="preserve">H08</t>
  </si>
  <si>
    <t xml:space="preserve">Theoretical Physicist — consulting agreement 1</t>
  </si>
  <si>
    <t xml:space="preserve">Open</t>
  </si>
  <si>
    <t xml:space="preserve">TBD</t>
  </si>
  <si>
    <t xml:space="preserve">Ian: ~$500k/yr consulting agreement. Modeled as $500k EACH — confirm each vs. total</t>
  </si>
  <si>
    <t xml:space="preserve">From Ian (interpretation flagged)</t>
  </si>
  <si>
    <t xml:space="preserve">H09</t>
  </si>
  <si>
    <t xml:space="preserve">Theoretical Physicist — consulting agreement 2</t>
  </si>
  <si>
    <t xml:space="preserve">As above</t>
  </si>
  <si>
    <t xml:space="preserve">H10</t>
  </si>
  <si>
    <t xml:space="preserve">Lab Safety / EHS Officer</t>
  </si>
  <si>
    <t xml:space="preserve">Must precede lab operations; owns hazard review, test protocols, incident reporting</t>
  </si>
  <si>
    <t xml:space="preserve">H11</t>
  </si>
  <si>
    <t xml:space="preserve">Test &amp; Instrumentation Engineer 1 (calorimetry)</t>
  </si>
  <si>
    <t xml:space="preserve">Calorimetry, DAQ, calibration discipline</t>
  </si>
  <si>
    <t xml:space="preserve">H12</t>
  </si>
  <si>
    <t xml:space="preserve">Test &amp; Instrumentation Engineer 2</t>
  </si>
  <si>
    <t xml:space="preserve">Second bench; independent replication of in-house measurements</t>
  </si>
  <si>
    <t xml:space="preserve">H13</t>
  </si>
  <si>
    <t xml:space="preserve">Additive Manufacturing Engineer</t>
  </si>
  <si>
    <t xml:space="preserve">Runs the precision AM system; process-parameter optimization</t>
  </si>
  <si>
    <t xml:space="preserve">H14</t>
  </si>
  <si>
    <t xml:space="preserve">Software / Algorithms Engineer</t>
  </si>
  <si>
    <t xml:space="preserve">Closed-loop AM parameter search, DAQ pipelines, data integrity / audit trail</t>
  </si>
  <si>
    <t xml:space="preserve">H15</t>
  </si>
  <si>
    <t xml:space="preserve">Lab Technician</t>
  </si>
  <si>
    <t xml:space="preserve">H16</t>
  </si>
  <si>
    <t xml:space="preserve">Executive Assistant</t>
  </si>
  <si>
    <t xml:space="preserve">H17</t>
  </si>
  <si>
    <t xml:space="preserve">Office &amp; Operations Coordinator</t>
  </si>
  <si>
    <t xml:space="preserve">H18</t>
  </si>
  <si>
    <t xml:space="preserve">Government Liaison (consulting)</t>
  </si>
  <si>
    <t xml:space="preserve">Eric Fitzgerald</t>
  </si>
  <si>
    <t xml:space="preserve">Confirm engagement terms (cash vs. equity); lobbying-disclosure check</t>
  </si>
  <si>
    <t xml:space="preserve">Total</t>
  </si>
  <si>
    <t xml:space="preserve">Legend: Start month is the first month the cost hits. Monthly cost = base × (1 + load) / 12 for W-2, base / 12 for 1099. 36-mo total = monthly × months remaining + relocation.</t>
  </si>
  <si>
    <t xml:space="preserve">Equity: 'Pool' = grant from the option pool (Assumptions!B9); 'Founder' = founder stock; 'TBD' = advisor/consultant grant to be decided. None of this is cash.</t>
  </si>
  <si>
    <t xml:space="preserve">Non-payroll cost lines (facilities, equipment, research, legal, finance, G&amp;A)</t>
  </si>
  <si>
    <t xml:space="preserve">Blue = input. Type: Monthly (recurs from start), One-time (hits start month only), Annual (spread 1/12 per month from start). Blank duration = through horizon.</t>
  </si>
  <si>
    <t xml:space="preserve">Line item</t>
  </si>
  <si>
    <t xml:space="preserve">Category</t>
  </si>
  <si>
    <t xml:space="preserve">Subcategory</t>
  </si>
  <si>
    <t xml:space="preserve">Lean ($)</t>
  </si>
  <si>
    <t xml:space="preserve">Base ($)</t>
  </si>
  <si>
    <t xml:space="preserve">Full ($)</t>
  </si>
  <si>
    <t xml:space="preserve">Selected ($)</t>
  </si>
  <si>
    <t xml:space="preserve">Duration (months; blank = to end)</t>
  </si>
  <si>
    <t xml:space="preserve">Monthly equiv. ($)</t>
  </si>
  <si>
    <t xml:space="preserve">Notes</t>
  </si>
  <si>
    <t xml:space="preserve">C01</t>
  </si>
  <si>
    <t xml:space="preserve">Office + lab lease near UCI (University Research Park)</t>
  </si>
  <si>
    <t xml:space="preserve">Facilities</t>
  </si>
  <si>
    <t xml:space="preserve">Lease</t>
  </si>
  <si>
    <t xml:space="preserve">Monthly</t>
  </si>
  <si>
    <t xml:space="preserve">6,000 sf × $3.75/sf/mo full service (Assumptions). Lab-grade space with power/ventilation may price higher.</t>
  </si>
  <si>
    <t xml:space="preserve">C02</t>
  </si>
  <si>
    <t xml:space="preserve">Security deposit</t>
  </si>
  <si>
    <t xml:space="preserve">Deposit</t>
  </si>
  <si>
    <t xml:space="preserve">One-time</t>
  </si>
  <si>
    <t xml:space="preserve">Months of rent per Assumptions</t>
  </si>
  <si>
    <t xml:space="preserve">C03</t>
  </si>
  <si>
    <t xml:space="preserve">Lab build-out (power, ventilation, benches, shielding)</t>
  </si>
  <si>
    <t xml:space="preserve">Build-out</t>
  </si>
  <si>
    <t xml:space="preserve">Tenant-improvement scope TBD with landlord; partly offsettable by TI allowance</t>
  </si>
  <si>
    <t xml:space="preserve">C04</t>
  </si>
  <si>
    <t xml:space="preserve">Utilities, internet, security</t>
  </si>
  <si>
    <t xml:space="preserve">Utilities</t>
  </si>
  <si>
    <t xml:space="preserve">C05</t>
  </si>
  <si>
    <t xml:space="preserve">Tabletop instrumentation package (calorimeters, power analyzers, precision sources/loads, DAQ, thermal chambers, balances, shielded enclosure, reference standards)</t>
  </si>
  <si>
    <t xml:space="preserve">Equipment</t>
  </si>
  <si>
    <t xml:space="preserve">Instrumentation</t>
  </si>
  <si>
    <t xml:space="preserve">Package, not a spec list. Priced for conservation-of-energy measurement, not for any device claim.</t>
  </si>
  <si>
    <t xml:space="preserve">C06</t>
  </si>
  <si>
    <t xml:space="preserve">Calibration &amp; metrology services</t>
  </si>
  <si>
    <t xml:space="preserve">Calibration</t>
  </si>
  <si>
    <t xml:space="preserve">Annual</t>
  </si>
  <si>
    <t xml:space="preserve">Traceable calibration is what makes a null result publishable</t>
  </si>
  <si>
    <t xml:space="preserve">C07</t>
  </si>
  <si>
    <t xml:space="preserve">Precision additive-manufacturing system (high-resolution AM with closed-loop process control)</t>
  </si>
  <si>
    <t xml:space="preserve">Additive manufacturing</t>
  </si>
  <si>
    <t xml:space="preserve">Class/vendor TBD (micro-scale polymer/metal vs. metal laser powder-bed). Placeholder = mid-range list price.</t>
  </si>
  <si>
    <t xml:space="preserve">C08</t>
  </si>
  <si>
    <t xml:space="preserve">AM service contract &amp; software</t>
  </si>
  <si>
    <t xml:space="preserve">C09</t>
  </si>
  <si>
    <t xml:space="preserve">AM feedstock &amp; lab consumables</t>
  </si>
  <si>
    <t xml:space="preserve">Operations</t>
  </si>
  <si>
    <t xml:space="preserve">Consumables</t>
  </si>
  <si>
    <t xml:space="preserve">C10</t>
  </si>
  <si>
    <t xml:space="preserve">Compute, simulation &amp; software licenses</t>
  </si>
  <si>
    <t xml:space="preserve">Compute</t>
  </si>
  <si>
    <t xml:space="preserve">C11</t>
  </si>
  <si>
    <t xml:space="preserve">Independent third-party replication / verification</t>
  </si>
  <si>
    <t xml:space="preserve">Research</t>
  </si>
  <si>
    <t xml:space="preserve">External verification</t>
  </si>
  <si>
    <t xml:space="preserve">Core to claims discipline; results published either direction</t>
  </si>
  <si>
    <t xml:space="preserve">C12</t>
  </si>
  <si>
    <t xml:space="preserve">UCI / NFCRC facility-use or sponsored-research agreement</t>
  </si>
  <si>
    <t xml:space="preserve">University partnership</t>
  </si>
  <si>
    <t xml:space="preserve">Only exists if an agreement is executed; proximity alone offsets nothing. Also the STTR path.</t>
  </si>
  <si>
    <t xml:space="preserve">C13</t>
  </si>
  <si>
    <t xml:space="preserve">K&amp;L Gates IP retainer (Novak / Majewski)</t>
  </si>
  <si>
    <t xml:space="preserve">Legal</t>
  </si>
  <si>
    <t xml:space="preserve">IP</t>
  </si>
  <si>
    <t xml:space="preserve">Confirm current retainer terms</t>
  </si>
  <si>
    <t xml:space="preserve">C14</t>
  </si>
  <si>
    <t xml:space="preserve">Entity work: 501(c)(3) determinations, intercompany / services agreements</t>
  </si>
  <si>
    <t xml:space="preserve">Corporate</t>
  </si>
  <si>
    <t xml:space="preserve">Covers EW share only; nonprofits fund their own</t>
  </si>
  <si>
    <t xml:space="preserve">C15</t>
  </si>
  <si>
    <t xml:space="preserve">Securities counsel (raise docs, Wyoming pooling LLC, SAFE conversion)</t>
  </si>
  <si>
    <t xml:space="preserve">Securities</t>
  </si>
  <si>
    <t xml:space="preserve">Joseph Johnson</t>
  </si>
  <si>
    <t xml:space="preserve">C16</t>
  </si>
  <si>
    <t xml:space="preserve">Ongoing corporate / employment counsel</t>
  </si>
  <si>
    <t xml:space="preserve">C17</t>
  </si>
  <si>
    <t xml:space="preserve">Outsourced finance (E57 or equivalent) — build phase</t>
  </si>
  <si>
    <t xml:space="preserve">Finance</t>
  </si>
  <si>
    <t xml:space="preserve">Outsourced finance</t>
  </si>
  <si>
    <t xml:space="preserve">Interim FP&amp;A + fractional controller; replace with E57's quote</t>
  </si>
  <si>
    <t xml:space="preserve">C18</t>
  </si>
  <si>
    <t xml:space="preserve">Outsourced finance (E57 or equivalent) — maintenance</t>
  </si>
  <si>
    <t xml:space="preserve">C19</t>
  </si>
  <si>
    <t xml:space="preserve">Audit, tax, Form 990 support (affiliates billed separately)</t>
  </si>
  <si>
    <t xml:space="preserve">Audit &amp; tax</t>
  </si>
  <si>
    <t xml:space="preserve">C20</t>
  </si>
  <si>
    <t xml:space="preserve">Accounting / HR / cap-table systems (QuickBooks or NetSuite, payroll, Carta)</t>
  </si>
  <si>
    <t xml:space="preserve">Systems</t>
  </si>
  <si>
    <t xml:space="preserve">C21</t>
  </si>
  <si>
    <t xml:space="preserve">Insurance (D&amp;O, GL, property, testing liability, workers' comp)</t>
  </si>
  <si>
    <t xml:space="preserve">G&amp;A</t>
  </si>
  <si>
    <t xml:space="preserve">Insurance</t>
  </si>
  <si>
    <t xml:space="preserve">Broker quote needed; lab operations drive the property/liability lines</t>
  </si>
  <si>
    <t xml:space="preserve">C22</t>
  </si>
  <si>
    <t xml:space="preserve">Recruiting — search fees, five applied physicists</t>
  </si>
  <si>
    <t xml:space="preserve">Recruiting</t>
  </si>
  <si>
    <t xml:space="preserve">Recruiting fee % × first-year base (H03–H07)</t>
  </si>
  <si>
    <t xml:space="preserve">C23</t>
  </si>
  <si>
    <t xml:space="preserve">Recruiting — other roles</t>
  </si>
  <si>
    <t xml:space="preserve">C24</t>
  </si>
  <si>
    <t xml:space="preserve">Travel &amp; government engagement</t>
  </si>
  <si>
    <t xml:space="preserve">Travel</t>
  </si>
  <si>
    <t xml:space="preserve">C25</t>
  </si>
  <si>
    <t xml:space="preserve">Publications, null-results registry, conferences</t>
  </si>
  <si>
    <t xml:space="preserve">Dissemination</t>
  </si>
  <si>
    <t xml:space="preserve">C26</t>
  </si>
  <si>
    <t xml:space="preserve">Office equipment &amp; IT hardware</t>
  </si>
  <si>
    <t xml:space="preserve">Office</t>
  </si>
  <si>
    <t xml:space="preserve">C27</t>
  </si>
  <si>
    <t xml:space="preserve">Intercompany services to/from GovThink Institute &amp; pinnacle.blog (arms-length)</t>
  </si>
  <si>
    <t xml:space="preserve">Intercompany</t>
  </si>
  <si>
    <t xml:space="preserve">Affiliates</t>
  </si>
  <si>
    <t xml:space="preserve">BLOCKED — do not populate until Novak confirms structure; any services priced at FMV under written agreement</t>
  </si>
  <si>
    <t xml:space="preserve">Blocked</t>
  </si>
  <si>
    <t xml:space="preserve">Total (selected scenario, 36 months)</t>
  </si>
  <si>
    <t xml:space="preserve">Monthly cash-need engine (36 months)</t>
  </si>
  <si>
    <t xml:space="preserve">Scenario:</t>
  </si>
  <si>
    <t xml:space="preserve">All rows pull from Headcount and CostLines; edit inputs there, not here.</t>
  </si>
  <si>
    <t xml:space="preserve">Line</t>
  </si>
  <si>
    <t xml:space="preserve">Month</t>
  </si>
  <si>
    <t xml:space="preserve">Gate</t>
  </si>
  <si>
    <t xml:space="preserve">PEOPLE (from Headcount)</t>
  </si>
  <si>
    <t xml:space="preserve">Relocation (one-time, all hires)</t>
  </si>
  <si>
    <t xml:space="preserve">Payroll</t>
  </si>
  <si>
    <t xml:space="preserve">Relocation</t>
  </si>
  <si>
    <t xml:space="preserve">NON-PAYROLL (from CostLines)</t>
  </si>
  <si>
    <t xml:space="preserve">TOTALS BY CATEGORY</t>
  </si>
  <si>
    <t xml:space="preserve">Consulting</t>
  </si>
  <si>
    <t xml:space="preserve">Total plan spend</t>
  </si>
  <si>
    <t xml:space="preserve">Cumulative plan spend</t>
  </si>
  <si>
    <t xml:space="preserve">Reserve accrual (ReservePct × spend)</t>
  </si>
  <si>
    <t xml:space="preserve">Cumulative need incl. reserve</t>
  </si>
  <si>
    <t xml:space="preserve">Cash remaining (single close at month 1, raise = UseOfFunds!C6)</t>
  </si>
  <si>
    <t xml:space="preserve">Check: detail rows − category totals (must be 0)</t>
  </si>
  <si>
    <t xml:space="preserve">Use of funds &amp; raise sizing — packet page</t>
  </si>
  <si>
    <t xml:space="preserve">Plan spend, 36 months ($)</t>
  </si>
  <si>
    <t xml:space="preserve">Reserve / contingency ($)</t>
  </si>
  <si>
    <t xml:space="preserve">RAISE SIZE — plan + reserve ($)</t>
  </si>
  <si>
    <t xml:space="preserve">Year 1 ($)</t>
  </si>
  <si>
    <t xml:space="preserve">Year 2 ($)</t>
  </si>
  <si>
    <t xml:space="preserve">Year 3 ($)</t>
  </si>
  <si>
    <t xml:space="preserve">Total ($)</t>
  </si>
  <si>
    <t xml:space="preserve">% of plan</t>
  </si>
  <si>
    <t xml:space="preserve">Reserve / contingency</t>
  </si>
  <si>
    <t xml:space="preserve">Raise size</t>
  </si>
  <si>
    <t xml:space="preserve">Gate tranche</t>
  </si>
  <si>
    <t xml:space="preserve">Cumulative need incl. reserve ($)</t>
  </si>
  <si>
    <t xml:space="preserve">Tranche increment ($)</t>
  </si>
  <si>
    <t xml:space="preserve">Cumulative people on plan</t>
  </si>
  <si>
    <t xml:space="preserve">Gate 1 — Characterize</t>
  </si>
  <si>
    <t xml:space="preserve">Gate 2 — Conservation test</t>
  </si>
  <si>
    <t xml:space="preserve">Gate 3 — Extract or retire (published)</t>
  </si>
  <si>
    <t xml:space="preserve">Tranche reading: cumulative need at each gate month is the cash the company must have had by then. A gate-tranched close (or milestone-released escrow) maps to these three numbers.</t>
  </si>
  <si>
    <t xml:space="preserve">Spend shape</t>
  </si>
  <si>
    <t xml:space="preserve">Amount ($)</t>
  </si>
  <si>
    <t xml:space="preserve">One-time (equipment, build-out, deposits, formation, recruiting, relocation)</t>
  </si>
  <si>
    <t xml:space="preserve">Recurring (payroll, consulting, lease, operations, retainers)</t>
  </si>
  <si>
    <t xml:space="preserve">People on plan (cumulative)</t>
  </si>
  <si>
    <t xml:space="preserve">Month 6</t>
  </si>
  <si>
    <t xml:space="preserve">Month 12</t>
  </si>
  <si>
    <t xml:space="preserve">Month 24</t>
  </si>
  <si>
    <t xml:space="preserve">Month 36</t>
  </si>
  <si>
    <t xml:space="preserve">All roles (W-2 + consulting agreements)</t>
  </si>
  <si>
    <t xml:space="preserve">Average monthly burn in that month ($)</t>
  </si>
  <si>
    <t xml:space="preserve">Model checks (must be 0)</t>
  </si>
  <si>
    <t xml:space="preserve">Pivot_Data total − plan spend</t>
  </si>
  <si>
    <t xml:space="preserve">Monthly detail − category totals</t>
  </si>
  <si>
    <t xml:space="preserve">CostLines total + Headcount total − plan spend</t>
  </si>
  <si>
    <t xml:space="preserve">Month #</t>
  </si>
  <si>
    <t xml:space="preserve">Scenario</t>
  </si>
  <si>
    <t xml:space="preserve">Entity &amp; funds-flow map</t>
  </si>
  <si>
    <t xml:space="preserve">One row per entity in the structure plus the escrow counterparty. 'Control that must exist' is the diligence test for each.</t>
  </si>
  <si>
    <t xml:space="preserve">Form / jurisdiction</t>
  </si>
  <si>
    <t xml:space="preserve">Purpose</t>
  </si>
  <si>
    <t xml:space="preserve">Relationship to EnergyWave, Inc.</t>
  </si>
  <si>
    <t xml:space="preserve">Funded by</t>
  </si>
  <si>
    <t xml:space="preserve">Planned flows with EnergyWave</t>
  </si>
  <si>
    <t xml:space="preserve">Control that must exist</t>
  </si>
  <si>
    <t xml:space="preserve">Counsel</t>
  </si>
  <si>
    <t xml:space="preserve">Status / open item</t>
  </si>
  <si>
    <t xml:space="preserve">Delaware C-corp (in formation, K&amp;L Gates)</t>
  </si>
  <si>
    <t xml:space="preserve">Research venture: portable high-energy-density power for humanoid robotics; three-gate conservation-of-energy protocol with mandatory null-result publication</t>
  </si>
  <si>
    <t xml:space="preserve">Operating company — this raise</t>
  </si>
  <si>
    <t xml:space="preserve">Next raise (this model)</t>
  </si>
  <si>
    <t xml:space="preserve">Receives transitional services from McLean Companies; arms-length services with the nonprofits only</t>
  </si>
  <si>
    <t xml:space="preserve">Claims discipline on every document; IP assignment from founders and McLean Companies; 409A; option pool; board &amp; advisor agreements</t>
  </si>
  <si>
    <t xml:space="preserve">K&amp;L Gates (Novak, Majewski); Johnson (securities)</t>
  </si>
  <si>
    <t xml:space="preserve">Formation in progress</t>
  </si>
  <si>
    <t xml:space="preserve">GovThink Institute (govthink.org)</t>
  </si>
  <si>
    <t xml:space="preserve">501(c)(3) (in formation)</t>
  </si>
  <si>
    <t xml:space="preserve">Policy institute: government engagement, dual-use release frameworks, tech-transfer policy, null-results registry, safety advocacy</t>
  </si>
  <si>
    <t xml:space="preserve">Affiliated nonprofit; Ian is founder of both — disclosed on govthink.org</t>
  </si>
  <si>
    <t xml:space="preserve">Donations / grants — NOT this raise</t>
  </si>
  <si>
    <t xml:space="preserve">Any services priced at fair market value under written agreement; no EW cost shifted to the nonprofit</t>
  </si>
  <si>
    <t xml:space="preserve">Private benefit / inurement (IRC §501(c)(3), §4958): independent board majority, conflict-of-interest policy, the nine mitigations in the counsel package</t>
  </si>
  <si>
    <t xml:space="preserve">K&amp;L Gates</t>
  </si>
  <si>
    <t xml:space="preserve">Determination pending; donation-solicitation question with Brian — BLOCKED</t>
  </si>
  <si>
    <t xml:space="preserve">pinnacle.blog</t>
  </si>
  <si>
    <t xml:space="preserve">Nonprofit (per Ian — confirm form, state, and status)</t>
  </si>
  <si>
    <t xml:space="preserve">TBD — confirm mission</t>
  </si>
  <si>
    <t xml:space="preserve">TBD — confirm relationship to EW and to GovThink</t>
  </si>
  <si>
    <t xml:space="preserve">None until documented</t>
  </si>
  <si>
    <t xml:space="preserve">A second affiliated nonprofit multiplies the private-benefit analysis; needs the same mitigations, its own board, and its own books</t>
  </si>
  <si>
    <t xml:space="preserve">NEED: mission, formation documents, board, relationship memo</t>
  </si>
  <si>
    <t xml:space="preserve">[Wyoming LLC — name TBD]</t>
  </si>
  <si>
    <t xml:space="preserve">Wyoming LLC holding company (investor pooling vehicle)</t>
  </si>
  <si>
    <t xml:space="preserve">Aggregates smaller shareholders into one line on the EW cap table</t>
  </si>
  <si>
    <t xml:space="preserve">Shareholder of EnergyWave, Inc.</t>
  </si>
  <si>
    <t xml:space="preserve">Investor capital (flows into the raise)</t>
  </si>
  <si>
    <t xml:space="preserve">Invests into EW; no operating flows</t>
  </si>
  <si>
    <t xml:space="preserve">Securities structure: Reg D, Investment Company Act exemption, blue-sky filings; who manages it and for what fee; conflict disclosure if Ian manages a vehicle investing in his own company; look-through schedule in the packet</t>
  </si>
  <si>
    <t xml:space="preserve">Johnson (securities)</t>
  </si>
  <si>
    <t xml:space="preserve">NEED: name, manager, operating agreement, subscription documents</t>
  </si>
  <si>
    <t xml:space="preserve">McLean Companies LLC</t>
  </si>
  <si>
    <t xml:space="preserve">Established LLC (Ian's consulting entity)</t>
  </si>
  <si>
    <t xml:space="preserve">Operational history; letterhead for government-facing documents; paid pre-formation expenses</t>
  </si>
  <si>
    <t xml:space="preserve">Founder entity; transitional service provider</t>
  </si>
  <si>
    <t xml:space="preserve">Ian</t>
  </si>
  <si>
    <t xml:space="preserve">Reimbursement of documented pre-formation expenses; assignment of any EW-related IP and contracts to EW</t>
  </si>
  <si>
    <t xml:space="preserve">Related-party disclosure; written reimbursement agreement; IP/contract assignment; a stop date for the transitional arrangement</t>
  </si>
  <si>
    <t xml:space="preserve">NEED: pre-formation expense ledger and assignment agreement</t>
  </si>
  <si>
    <t xml:space="preserve">Escrow (investment bank — Andrew Low)</t>
  </si>
  <si>
    <t xml:space="preserve">Third-party escrow account</t>
  </si>
  <si>
    <t xml:space="preserve">Holds raise proceeds pending release conditions</t>
  </si>
  <si>
    <t xml:space="preserve">Counterparty — not controlled by Ian</t>
  </si>
  <si>
    <t xml:space="preserve">n/a</t>
  </si>
  <si>
    <t xml:space="preserve">Escrow → EW operating account on release conditions</t>
  </si>
  <si>
    <t xml:space="preserve">Escrow agreement in hand; escrow agent and bank confirmed directly with the bank; release conditions understood; no fee payable to release funds; engagement letter and fee schedule reviewed by counsel</t>
  </si>
  <si>
    <t xml:space="preserve">Johnson / Novak</t>
  </si>
  <si>
    <t xml:space="preserve">NEED: escrow agreement + direct bank confirmation before anyone bills against the raise</t>
  </si>
  <si>
    <t xml:space="preserve">Team, advisors, counsel &amp; proposed vendors</t>
  </si>
  <si>
    <t xml:space="preserve">'Verify before packet' lists bio or role claims that must be checked against primary sources. Nothing goes in the packet unverified.</t>
  </si>
  <si>
    <t xml:space="preserve">Name</t>
  </si>
  <si>
    <t xml:space="preserve">Role (per Ian)</t>
  </si>
  <si>
    <t xml:space="preserve">Entity / relationship</t>
  </si>
  <si>
    <t xml:space="preserve">Engagement type (proposed)</t>
  </si>
  <si>
    <t xml:space="preserve">Cash in model?</t>
  </si>
  <si>
    <t xml:space="preserve">LinkedIn</t>
  </si>
  <si>
    <t xml:space="preserve">Verify before packet</t>
  </si>
  <si>
    <t xml:space="preserve">Status</t>
  </si>
  <si>
    <t xml:space="preserve">Ian F. McLean</t>
  </si>
  <si>
    <t xml:space="preserve">EnergyWave, Inc.; GovThink Institute; McLean Companies LLC</t>
  </si>
  <si>
    <t xml:space="preserve">Employee</t>
  </si>
  <si>
    <t xml:space="preserve">Yes — H01</t>
  </si>
  <si>
    <t xml:space="preserve">Founder disclosures: outside investments (incl. the hydrogen company stake), McLean Companies related-party terms</t>
  </si>
  <si>
    <t xml:space="preserve">Co-founder</t>
  </si>
  <si>
    <t xml:space="preserve">EnergyWave, Inc.; Director &amp; R&amp;T Team Leader, ZPEPG</t>
  </si>
  <si>
    <t xml:space="preserve">Part-time / consulting</t>
  </si>
  <si>
    <t xml:space="preserve">Yes — H02</t>
  </si>
  <si>
    <t xml:space="preserve">linkedin.com/in/chipstorygeophysics</t>
  </si>
  <si>
    <t xml:space="preserve">Co-founder agreement and vesting; ZPEPG conflict/IP boundary; M.S. geophysics (Colorado School of Mines)</t>
  </si>
  <si>
    <t xml:space="preserve">Confirm terms</t>
  </si>
  <si>
    <t xml:space="preserve">Jack Sarfatti, Ph.D.</t>
  </si>
  <si>
    <t xml:space="preserve">Physics advisory (co-founder in earlier documents)</t>
  </si>
  <si>
    <t xml:space="preserve">Advisor</t>
  </si>
  <si>
    <t xml:space="preserve">Advisor agreement (equity)</t>
  </si>
  <si>
    <t xml:space="preserve">No</t>
  </si>
  <si>
    <t xml:space="preserve">linkedin.com/in/jack-sarfatti-47793b20</t>
  </si>
  <si>
    <t xml:space="preserve">Bio wording: 'trained under Hans Bethe at Cornell; Ph.D. UC Riverside' — NOT 'Ph.D. under a Nobel laureate'. Omit the Altman neighbor reference. On-record skeptic of the premise = credibility asset; keep that in.</t>
  </si>
  <si>
    <t xml:space="preserve">Rewrite bio</t>
  </si>
  <si>
    <t xml:space="preserve">Alan Crunkleton, Ph.D., M.D.</t>
  </si>
  <si>
    <t xml:space="preserve">Second advisor (technical &amp; financial)</t>
  </si>
  <si>
    <t xml:space="preserve">Advisor; Partner, Hardesty LLC</t>
  </si>
  <si>
    <t xml:space="preserve">linkedin.com/in/alancrunkleton</t>
  </si>
  <si>
    <t xml:space="preserve">On-record skeptic = asset. Confirm Hardesty affiliation wording.</t>
  </si>
  <si>
    <t xml:space="preserve">Confirm</t>
  </si>
  <si>
    <t xml:space="preserve">Mike Wentz</t>
  </si>
  <si>
    <t xml:space="preserve">Third advisor (vetting / diligence)</t>
  </si>
  <si>
    <t xml:space="preserve">linkedin.com/in/mike-wentz</t>
  </si>
  <si>
    <t xml:space="preserve">Credential discrepancy: Ian says bioengineering Ph.D.; LinkedIn lists M.S. Resolve before any document.</t>
  </si>
  <si>
    <t xml:space="preserve">Verify credential</t>
  </si>
  <si>
    <t xml:space="preserve">Andrew Low</t>
  </si>
  <si>
    <t xml:space="preserve">Investment bank; holds the escrow account</t>
  </si>
  <si>
    <t xml:space="preserve">Counterparty</t>
  </si>
  <si>
    <t xml:space="preserve">Engagement letter</t>
  </si>
  <si>
    <t xml:space="preserve">Fees TBD — not in model</t>
  </si>
  <si>
    <t xml:space="preserve">linkedin.com/in/andrewlow17</t>
  </si>
  <si>
    <t xml:space="preserve">Firm identity; broker-dealer / FINRA registration; escrow agreement; escrow agent and bank confirmed directly; fee schedule; success-fee and expense terms</t>
  </si>
  <si>
    <t xml:space="preserve">Verify before reliance</t>
  </si>
  <si>
    <t xml:space="preserve">Craig Weaver</t>
  </si>
  <si>
    <t xml:space="preserve">Advisory accounting specialist</t>
  </si>
  <si>
    <t xml:space="preserve">Advisor / vendor</t>
  </si>
  <si>
    <t xml:space="preserve">Not separately — outsourced-finance line (C17/C18)</t>
  </si>
  <si>
    <t xml:space="preserve">linkedin.com/in/craig-weaver-a704785</t>
  </si>
  <si>
    <t xml:space="preserve">Define scope vs. E57 to avoid overlap; confirm licensure if attesting</t>
  </si>
  <si>
    <t xml:space="preserve">Define scope</t>
  </si>
  <si>
    <t xml:space="preserve">David Norris</t>
  </si>
  <si>
    <t xml:space="preserve">Tenured financier specialist</t>
  </si>
  <si>
    <t xml:space="preserve">Advisor agreement (equity) / TBD</t>
  </si>
  <si>
    <t xml:space="preserve">linkedin.com/in/david-norris-660a87</t>
  </si>
  <si>
    <t xml:space="preserve">Define role in the raise (placement, board, or advisory)</t>
  </si>
  <si>
    <t xml:space="preserve">Define role</t>
  </si>
  <si>
    <t xml:space="preserve">Government liaison</t>
  </si>
  <si>
    <t xml:space="preserve">Consultant</t>
  </si>
  <si>
    <t xml:space="preserve">Consulting agreement</t>
  </si>
  <si>
    <t xml:space="preserve">Yes — H18</t>
  </si>
  <si>
    <t xml:space="preserve">linkedin.com/in/ericfoxfitzgerald</t>
  </si>
  <si>
    <t xml:space="preserve">Terms (cash vs. equity); lobbying-disclosure review if activity qualifies</t>
  </si>
  <si>
    <t xml:space="preserve">Securities &amp; IP litigation counsel; class-action background (per Ian)</t>
  </si>
  <si>
    <t xml:space="preserve">Legal fees</t>
  </si>
  <si>
    <t xml:space="preserve">Yes — C15</t>
  </si>
  <si>
    <t xml:space="preserve">linkedin.com/in/jkjohnson</t>
  </si>
  <si>
    <t xml:space="preserve">Previously kept off public-facing documents — confirm whether he appears in the packet at all</t>
  </si>
  <si>
    <t xml:space="preserve">Decide</t>
  </si>
  <si>
    <t xml:space="preserve">George Roth</t>
  </si>
  <si>
    <t xml:space="preserve">Legacy investment-banking advisory</t>
  </si>
  <si>
    <t xml:space="preserve">linkedin.com/in/georgeroth</t>
  </si>
  <si>
    <t xml:space="preserve">Define role vs. Andrew Low; avoid two banks with unclear mandates</t>
  </si>
  <si>
    <t xml:space="preserve">Brian Novak</t>
  </si>
  <si>
    <t xml:space="preserve">K&amp;L Gates, Irvine — entity formation &amp; IP retainer</t>
  </si>
  <si>
    <t xml:space="preserve">Yes — C13/C14</t>
  </si>
  <si>
    <t xml:space="preserve">Precise title (Partner in Charge?) and Ph.D. reference — verify</t>
  </si>
  <si>
    <t xml:space="preserve">Verify title</t>
  </si>
  <si>
    <t xml:space="preserve">Dennis Majewski</t>
  </si>
  <si>
    <t xml:space="preserve">K&amp;L Gates Partner — EE/CE, semiconductors, quantum circuits</t>
  </si>
  <si>
    <t xml:space="preserve">Yes — C13</t>
  </si>
  <si>
    <t xml:space="preserve">OK</t>
  </si>
  <si>
    <t xml:space="preserve">E57 Partners — Jonathan Wallace</t>
  </si>
  <si>
    <t xml:space="preserve">Interim FP&amp;A (proposed)</t>
  </si>
  <si>
    <t xml:space="preserve">Vendor</t>
  </si>
  <si>
    <t xml:space="preserve">Consulting (E57 engagement)</t>
  </si>
  <si>
    <t xml:space="preserve">Yes — C17/C18</t>
  </si>
  <si>
    <t xml:space="preserve">Who does the work; reference from a pre-revenue research venture; independence from the bank and investors</t>
  </si>
  <si>
    <t xml:space="preserve">Proposed</t>
  </si>
  <si>
    <t xml:space="preserve">E57 Partners — David McKee</t>
  </si>
  <si>
    <t xml:space="preserve">Interim Controller &amp; FP&amp;A (proposed)</t>
  </si>
  <si>
    <t xml:space="preserve">Multi-entity + nonprofit competence (Form 990, private-benefit rules); QuickBooks vs NetSuite recommendation</t>
  </si>
  <si>
    <t xml:space="preserve">E57 Partners — Alex Wells</t>
  </si>
  <si>
    <t xml:space="preserve">Interim CFO (optional, fractional)</t>
  </si>
  <si>
    <t xml:space="preserve">Consulting (fractional hours)</t>
  </si>
  <si>
    <t xml:space="preserve">Not modeled</t>
  </si>
  <si>
    <t xml:space="preserve">Only if a CFO name is needed with the bank / IQT</t>
  </si>
  <si>
    <t xml:space="preserve">Optional</t>
  </si>
  <si>
    <t xml:space="preserve">E57 Partners — Austin Griffin, CPA</t>
  </si>
  <si>
    <t xml:space="preserve">Interim Controller (SEC/SOX/ERP)</t>
  </si>
  <si>
    <t xml:space="preserve">—</t>
  </si>
  <si>
    <t xml:space="preserve">Post-Series-A need; not now</t>
  </si>
  <si>
    <t xml:space="preserve">Defer</t>
  </si>
  <si>
    <t xml:space="preserve">E57 Partners — Joseph Kirchon, CPA (contact)</t>
  </si>
  <si>
    <t xml:space="preserve">CFO, East 57th Street Partners, Dallas</t>
  </si>
  <si>
    <t xml:space="preserve">Vendor contact</t>
  </si>
  <si>
    <t xml:space="preserve">Firm confirmed: founded 2014, Dallas, ~107 professionals, consulting/staffing/executive search in accounting, finance, HR, IT</t>
  </si>
  <si>
    <t xml:space="preserve">Verified</t>
  </si>
  <si>
    <t xml:space="preserve">Due-diligence packet — data-room index</t>
  </si>
  <si>
    <t xml:space="preserve">Status: Have / In progress / Need / Blocked. Owner is who produces it. Nothing enters the packet without the verification standard in the last column being met.</t>
  </si>
  <si>
    <t xml:space="preserve">#</t>
  </si>
  <si>
    <t xml:space="preserve">Section</t>
  </si>
  <si>
    <t xml:space="preserve">Item</t>
  </si>
  <si>
    <t xml:space="preserve">Owner</t>
  </si>
  <si>
    <t xml:space="preserve">Verification standard / notes</t>
  </si>
  <si>
    <t xml:space="preserve">A. Corporate &amp; governance</t>
  </si>
  <si>
    <t xml:space="preserve">Certificate of incorporation, bylaws, board consents — EnergyWave, Inc.</t>
  </si>
  <si>
    <t xml:space="preserve">Novak (K&amp;L Gates)</t>
  </si>
  <si>
    <t xml:space="preserve">In progress</t>
  </si>
  <si>
    <t xml:space="preserve">Org chart of all five entities + funds-flow map</t>
  </si>
  <si>
    <t xml:space="preserve">Ian / E57</t>
  </si>
  <si>
    <t xml:space="preserve">Have (draft)</t>
  </si>
  <si>
    <t xml:space="preserve">Entities sheet in this workbook; finalize once Wyoming LLC and pinnacle.blog are documented</t>
  </si>
  <si>
    <t xml:space="preserve">Intercompany / services agreements with GovThink Institute and pinnacle.blog</t>
  </si>
  <si>
    <t xml:space="preserve">Novak</t>
  </si>
  <si>
    <t xml:space="preserve">Arms-length, FMV pricing, written; nonprofit boards approve</t>
  </si>
  <si>
    <t xml:space="preserve">Board, advisor, and co-founder agreements with vesting</t>
  </si>
  <si>
    <t xml:space="preserve">Need</t>
  </si>
  <si>
    <t xml:space="preserve">Every person on the Roster sheet</t>
  </si>
  <si>
    <t xml:space="preserve">Conflict-of-interest policy and founder disclosures (outside investments, McLean Companies terms)</t>
  </si>
  <si>
    <t xml:space="preserve">Ian / Novak</t>
  </si>
  <si>
    <t xml:space="preserve">Includes the hydrogen-company stake</t>
  </si>
  <si>
    <t xml:space="preserve">B. Capitalization &amp; securities</t>
  </si>
  <si>
    <t xml:space="preserve">Fully diluted cap table incl. option pool</t>
  </si>
  <si>
    <t xml:space="preserve">Johnson / E57</t>
  </si>
  <si>
    <t xml:space="preserve">Option pool % per Assumptions; SPV shown as one line with look-through schedule</t>
  </si>
  <si>
    <t xml:space="preserve">Pre-seed SAFE(s) and terms</t>
  </si>
  <si>
    <t xml:space="preserve">Have</t>
  </si>
  <si>
    <t xml:space="preserve">Wyoming pooling LLC: operating agreement, subscription docs, manager, fees, exemptions</t>
  </si>
  <si>
    <t xml:space="preserve">Johnson</t>
  </si>
  <si>
    <t xml:space="preserve">Reg D; Investment Company Act exemption; blue sky</t>
  </si>
  <si>
    <t xml:space="preserve">409A valuation</t>
  </si>
  <si>
    <t xml:space="preserve">E57 / valuation firm</t>
  </si>
  <si>
    <t xml:space="preserve">Before option grants</t>
  </si>
  <si>
    <t xml:space="preserve">Escrow agreement, escrow agent identity, direct bank confirmation, release conditions</t>
  </si>
  <si>
    <t xml:space="preserve">Ian / Johnson</t>
  </si>
  <si>
    <t xml:space="preserve">Confirmed with the bank directly, not via the introducer; no fee to release funds</t>
  </si>
  <si>
    <t xml:space="preserve">Investment bank engagement letter and fee schedule (Andrew Low)</t>
  </si>
  <si>
    <t xml:space="preserve">Broker-dealer registration verified</t>
  </si>
  <si>
    <t xml:space="preserve">Reg D / blue-sky filings for the raise</t>
  </si>
  <si>
    <t xml:space="preserve">C. Team</t>
  </si>
  <si>
    <t xml:space="preserve">Bios with every claim verified</t>
  </si>
  <si>
    <t xml:space="preserve">Sarfatti wording; Wentz credential; Novak title; Story co-founder terms; no neighbor or celebrity references</t>
  </si>
  <si>
    <t xml:space="preserve">Hiring plan and role definitions</t>
  </si>
  <si>
    <t xml:space="preserve">Have (v1)</t>
  </si>
  <si>
    <t xml:space="preserve">Headcount sheet; placeholders flagged</t>
  </si>
  <si>
    <t xml:space="preserve">Offer letter templates; PIIA / IP assignment for every hire and consultant</t>
  </si>
  <si>
    <t xml:space="preserve">Theoretical-physicist consulting agreements included</t>
  </si>
  <si>
    <t xml:space="preserve">Export-control screening (ITAR / EAR) for hardware and for foreign-national hires</t>
  </si>
  <si>
    <t xml:space="preserve">Novak / EHS</t>
  </si>
  <si>
    <t xml:space="preserve">Deemed-export review before physicist offers go out; relevant to IQT and any federal path</t>
  </si>
  <si>
    <t xml:space="preserve">D. Intellectual property</t>
  </si>
  <si>
    <t xml:space="preserve">IP assignment from founders and McLean Companies to EnergyWave, Inc.</t>
  </si>
  <si>
    <t xml:space="preserve">K&amp;L Gates IP strategy memo; prior-art file on historically claimed configurations under test</t>
  </si>
  <si>
    <t xml:space="preserve">Majewski</t>
  </si>
  <si>
    <t xml:space="preserve">Freedom-to-operate on anything that reaches Gate 3</t>
  </si>
  <si>
    <t xml:space="preserve">E. Financial</t>
  </si>
  <si>
    <t xml:space="preserve">36-month driver-based model, use of funds, gate tranches</t>
  </si>
  <si>
    <t xml:space="preserve">E57 / Ian</t>
  </si>
  <si>
    <t xml:space="preserve">This workbook; every Placeholder validated before circulation</t>
  </si>
  <si>
    <t xml:space="preserve">Pre-formation expense ledger (McLean Companies) and reimbursement agreement</t>
  </si>
  <si>
    <t xml:space="preserve">Bank accounts, signatories, controls, expense policy</t>
  </si>
  <si>
    <t xml:space="preserve">E57</t>
  </si>
  <si>
    <t xml:space="preserve">Budget-vs-actual and board reporting cadence</t>
  </si>
  <si>
    <t xml:space="preserve">Audit / tax engagement; Form 990 plan for affiliates</t>
  </si>
  <si>
    <t xml:space="preserve">F. Legal &amp; compliance</t>
  </si>
  <si>
    <t xml:space="preserve">501(c)(3) private-benefit / inurement mitigation memo (nine items)</t>
  </si>
  <si>
    <t xml:space="preserve">Counsel package prepared</t>
  </si>
  <si>
    <t xml:space="preserve">GovThink Institute determination status</t>
  </si>
  <si>
    <t xml:space="preserve">pinnacle.blog formation, mission, board, relationship memo</t>
  </si>
  <si>
    <t xml:space="preserve">Insurance binders (D&amp;O, GL, property, testing liability, workers' comp)</t>
  </si>
  <si>
    <t xml:space="preserve">E57 / broker</t>
  </si>
  <si>
    <t xml:space="preserve">Lab safety / EHS plan; hazard review process; incident reporting</t>
  </si>
  <si>
    <t xml:space="preserve">EHS Officer</t>
  </si>
  <si>
    <t xml:space="preserve">Precedes any bench work</t>
  </si>
  <si>
    <t xml:space="preserve">Lease and tenant-improvement scope</t>
  </si>
  <si>
    <t xml:space="preserve">G. Technical program</t>
  </si>
  <si>
    <t xml:space="preserve">Three-gate protocol document (Characterize → Conservation-test → Extract or retire, published)</t>
  </si>
  <si>
    <t xml:space="preserve">DoD white paper basis</t>
  </si>
  <si>
    <t xml:space="preserve">Language audit of every packet document</t>
  </si>
  <si>
    <t xml:space="preserve">'as claimed / never independently verified / under test'; no named method as the objective; no performance figures; no over-unity framing</t>
  </si>
  <si>
    <t xml:space="preserve">Instrumentation &amp; calibration plan; independent replication plan; null-results publication policy</t>
  </si>
  <si>
    <t xml:space="preserve">Test engineer / Ian</t>
  </si>
  <si>
    <t xml:space="preserve">Cost line C12 exists only if executed; also unlocks STTR</t>
  </si>
  <si>
    <t xml:space="preserve">H. Government</t>
  </si>
  <si>
    <t xml:space="preserve">SAM.gov registration (UEI / CAGE)</t>
  </si>
  <si>
    <t xml:space="preserve">Prerequisite for any federal submission</t>
  </si>
  <si>
    <t xml:space="preserve">DoD white paper (McLean Companies letterhead)</t>
  </si>
  <si>
    <t xml:space="preserve">Flagged verifications still open</t>
  </si>
  <si>
    <t xml:space="preserve">TRIAGE executive summary</t>
  </si>
  <si>
    <t xml:space="preserve">File after SAM.gov</t>
  </si>
  <si>
    <t xml:space="preserve">University STTR partner</t>
  </si>
  <si>
    <t xml:space="preserve">Status counts</t>
  </si>
  <si>
    <t xml:space="preserve">Have*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</si>
</sst>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mmm\-yy"/>
    <numFmt numFmtId="167" formatCode="0.0%"/>
    <numFmt numFmtId="168" formatCode="\$#,##0;&quot;($&quot;#,##0\);\-"/>
    <numFmt numFmtId="169" formatCode="#,##0"/>
    <numFmt numFmtId="170" formatCode="\$#,##0.00"/>
    <numFmt numFmtId="171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PivotData" displayName="tblPivotData" ref="A1:H1657" headerRowCount="1" totalsRowCount="0" totalsRowShown="0">
  <autoFilter ref="A1:H1657"/>
  <tableColumns count="8">
    <tableColumn id="1" name="Month #"/>
    <tableColumn id="2" name="Month"/>
    <tableColumn id="3" name="Entity"/>
    <tableColumn id="4" name="Category"/>
    <tableColumn id="5" name="Subcategory"/>
    <tableColumn id="6" name="Line"/>
    <tableColumn id="7" name="Amount ($)"/>
    <tableColumn id="8" name="Scenari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23.85" hidden="false" customHeight="false" outlineLevel="0" collapsed="false">
      <c r="A25" s="3" t="s">
        <v>20</v>
      </c>
    </row>
    <row r="26" customFormat="false" ht="23.8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5" t="s">
        <v>30</v>
      </c>
    </row>
    <row r="2" customFormat="false" ht="15" hidden="false" customHeight="false" outlineLevel="0" collapsed="false">
      <c r="A2" s="6" t="s">
        <v>31</v>
      </c>
    </row>
    <row r="3" customFormat="false" ht="15" hidden="false" customHeight="false" outlineLevel="0" collapsed="false">
      <c r="A3" s="7" t="s">
        <v>32</v>
      </c>
      <c r="B3" s="7" t="s">
        <v>33</v>
      </c>
      <c r="C3" s="7" t="s">
        <v>34</v>
      </c>
      <c r="D3" s="7" t="s">
        <v>35</v>
      </c>
    </row>
    <row r="4" customFormat="false" ht="15" hidden="false" customHeight="false" outlineLevel="0" collapsed="false">
      <c r="A4" s="8" t="s">
        <v>36</v>
      </c>
      <c r="B4" s="9" t="n">
        <v>2</v>
      </c>
      <c r="C4" s="8" t="s">
        <v>37</v>
      </c>
      <c r="D4" s="8" t="s">
        <v>38</v>
      </c>
    </row>
    <row r="5" customFormat="false" ht="15" hidden="false" customHeight="false" outlineLevel="0" collapsed="false">
      <c r="A5" s="8" t="s">
        <v>39</v>
      </c>
      <c r="B5" s="10" t="n">
        <v>46388</v>
      </c>
      <c r="C5" s="8" t="s">
        <v>40</v>
      </c>
      <c r="D5" s="8" t="s">
        <v>41</v>
      </c>
    </row>
    <row r="6" customFormat="false" ht="15" hidden="false" customHeight="false" outlineLevel="0" collapsed="false">
      <c r="A6" s="8" t="s">
        <v>42</v>
      </c>
      <c r="B6" s="11" t="n">
        <v>36</v>
      </c>
      <c r="C6" s="8" t="s">
        <v>43</v>
      </c>
      <c r="D6" s="8" t="s">
        <v>44</v>
      </c>
    </row>
    <row r="7" customFormat="false" ht="15" hidden="false" customHeight="false" outlineLevel="0" collapsed="false">
      <c r="A7" s="8" t="s">
        <v>45</v>
      </c>
      <c r="B7" s="12" t="n">
        <v>0.22</v>
      </c>
      <c r="C7" s="8" t="s">
        <v>46</v>
      </c>
      <c r="D7" s="8" t="s">
        <v>41</v>
      </c>
    </row>
    <row r="8" customFormat="false" ht="15" hidden="false" customHeight="false" outlineLevel="0" collapsed="false">
      <c r="A8" s="8" t="s">
        <v>47</v>
      </c>
      <c r="B8" s="13" t="n">
        <v>25000</v>
      </c>
      <c r="C8" s="8" t="s">
        <v>48</v>
      </c>
      <c r="D8" s="8" t="s">
        <v>41</v>
      </c>
    </row>
    <row r="9" customFormat="false" ht="15" hidden="false" customHeight="false" outlineLevel="0" collapsed="false">
      <c r="A9" s="8" t="s">
        <v>49</v>
      </c>
      <c r="B9" s="12" t="n">
        <v>0.12</v>
      </c>
      <c r="C9" s="8" t="s">
        <v>50</v>
      </c>
      <c r="D9" s="8" t="s">
        <v>41</v>
      </c>
    </row>
    <row r="10" customFormat="false" ht="15" hidden="false" customHeight="false" outlineLevel="0" collapsed="false">
      <c r="A10" s="8" t="s">
        <v>51</v>
      </c>
      <c r="B10" s="12" t="n">
        <v>0.2</v>
      </c>
      <c r="C10" s="8" t="s">
        <v>52</v>
      </c>
      <c r="D10" s="8" t="s">
        <v>41</v>
      </c>
    </row>
    <row r="11" customFormat="false" ht="15" hidden="false" customHeight="false" outlineLevel="0" collapsed="false">
      <c r="A11" s="8" t="s">
        <v>53</v>
      </c>
      <c r="B11" s="14" t="n">
        <v>9</v>
      </c>
      <c r="C11" s="8" t="s">
        <v>54</v>
      </c>
      <c r="D11" s="8" t="s">
        <v>41</v>
      </c>
    </row>
    <row r="12" customFormat="false" ht="15" hidden="false" customHeight="false" outlineLevel="0" collapsed="false">
      <c r="A12" s="8" t="s">
        <v>55</v>
      </c>
      <c r="B12" s="14" t="n">
        <v>21</v>
      </c>
      <c r="C12" s="8"/>
      <c r="D12" s="8" t="s">
        <v>41</v>
      </c>
    </row>
    <row r="13" customFormat="false" ht="15" hidden="false" customHeight="false" outlineLevel="0" collapsed="false">
      <c r="A13" s="8" t="s">
        <v>56</v>
      </c>
      <c r="B13" s="14" t="n">
        <v>36</v>
      </c>
      <c r="C13" s="8"/>
      <c r="D13" s="8" t="s">
        <v>41</v>
      </c>
    </row>
    <row r="14" customFormat="false" ht="15" hidden="false" customHeight="false" outlineLevel="0" collapsed="false">
      <c r="A14" s="8" t="s">
        <v>57</v>
      </c>
      <c r="B14" s="15" t="n">
        <v>6000</v>
      </c>
      <c r="C14" s="8" t="s">
        <v>58</v>
      </c>
      <c r="D14" s="8" t="s">
        <v>41</v>
      </c>
    </row>
    <row r="15" customFormat="false" ht="15" hidden="false" customHeight="false" outlineLevel="0" collapsed="false">
      <c r="A15" s="8" t="s">
        <v>59</v>
      </c>
      <c r="B15" s="16" t="n">
        <v>3.75</v>
      </c>
      <c r="C15" s="8" t="s">
        <v>60</v>
      </c>
      <c r="D15" s="8" t="s">
        <v>41</v>
      </c>
    </row>
    <row r="16" customFormat="false" ht="15" hidden="false" customHeight="false" outlineLevel="0" collapsed="false">
      <c r="A16" s="8" t="s">
        <v>61</v>
      </c>
      <c r="B16" s="17" t="n">
        <f aca="false">B14*B15</f>
        <v>22500</v>
      </c>
      <c r="C16" s="8"/>
      <c r="D16" s="8" t="s">
        <v>62</v>
      </c>
    </row>
    <row r="17" customFormat="false" ht="15" hidden="false" customHeight="false" outlineLevel="0" collapsed="false">
      <c r="A17" s="8" t="s">
        <v>63</v>
      </c>
      <c r="B17" s="14" t="n">
        <v>2</v>
      </c>
      <c r="C17" s="8"/>
      <c r="D17" s="8" t="s">
        <v>41</v>
      </c>
    </row>
    <row r="18" customFormat="false" ht="15" hidden="false" customHeight="false" outlineLevel="0" collapsed="false">
      <c r="A18" s="8" t="s">
        <v>64</v>
      </c>
      <c r="B18" s="12" t="n">
        <v>0.2</v>
      </c>
      <c r="C18" s="8" t="s">
        <v>65</v>
      </c>
      <c r="D18" s="8" t="s">
        <v>41</v>
      </c>
    </row>
    <row r="19" customFormat="false" ht="15" hidden="false" customHeight="false" outlineLevel="0" collapsed="false">
      <c r="A19" s="8" t="s">
        <v>66</v>
      </c>
      <c r="B19" s="13" t="n">
        <v>25000</v>
      </c>
      <c r="C19" s="8" t="s">
        <v>67</v>
      </c>
      <c r="D19" s="8" t="s">
        <v>41</v>
      </c>
    </row>
    <row r="20" customFormat="false" ht="15" hidden="false" customHeight="false" outlineLevel="0" collapsed="false">
      <c r="A20" s="8" t="s">
        <v>68</v>
      </c>
      <c r="B20" s="13" t="n">
        <v>15000</v>
      </c>
      <c r="C20" s="8" t="s">
        <v>69</v>
      </c>
      <c r="D20" s="8" t="s">
        <v>41</v>
      </c>
    </row>
    <row r="21" customFormat="false" ht="15" hidden="false" customHeight="false" outlineLevel="0" collapsed="false">
      <c r="A21" s="8" t="s">
        <v>70</v>
      </c>
      <c r="B21" s="18" t="str">
        <f aca="false">CHOOSE(B4,"Lean","Base","Full")</f>
        <v>Base</v>
      </c>
      <c r="C21" s="8"/>
      <c r="D21" s="8" t="s">
        <v>62</v>
      </c>
    </row>
  </sheetData>
  <dataValidations count="1">
    <dataValidation allowBlank="false" errorStyle="stop" operator="between" showDropDown="false" showErrorMessage="false" showInputMessage="fals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7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9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60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5" t="s">
        <v>71</v>
      </c>
    </row>
    <row r="2" customFormat="false" ht="15" hidden="false" customHeight="false" outlineLevel="0" collapsed="false">
      <c r="A2" s="6" t="s">
        <v>72</v>
      </c>
    </row>
    <row r="3" customFormat="false" ht="23.85" hidden="false" customHeight="false" outlineLevel="0" collapsed="false">
      <c r="A3" s="7" t="s">
        <v>73</v>
      </c>
      <c r="B3" s="7" t="s">
        <v>74</v>
      </c>
      <c r="C3" s="7" t="s">
        <v>75</v>
      </c>
      <c r="D3" s="7" t="s">
        <v>76</v>
      </c>
      <c r="E3" s="7" t="s">
        <v>77</v>
      </c>
      <c r="F3" s="7" t="s">
        <v>78</v>
      </c>
      <c r="G3" s="7" t="s">
        <v>79</v>
      </c>
      <c r="H3" s="7" t="s">
        <v>80</v>
      </c>
      <c r="I3" s="7" t="s">
        <v>81</v>
      </c>
      <c r="J3" s="7" t="s">
        <v>82</v>
      </c>
      <c r="K3" s="7" t="s">
        <v>83</v>
      </c>
      <c r="L3" s="7" t="s">
        <v>84</v>
      </c>
      <c r="M3" s="7" t="s">
        <v>85</v>
      </c>
      <c r="N3" s="7" t="s">
        <v>86</v>
      </c>
      <c r="O3" s="7" t="s">
        <v>87</v>
      </c>
      <c r="P3" s="7" t="s">
        <v>88</v>
      </c>
      <c r="Q3" s="7" t="s">
        <v>35</v>
      </c>
    </row>
    <row r="4" customFormat="false" ht="23.85" hidden="false" customHeight="false" outlineLevel="0" collapsed="false">
      <c r="A4" s="8" t="s">
        <v>89</v>
      </c>
      <c r="B4" s="8" t="s">
        <v>90</v>
      </c>
      <c r="C4" s="8" t="s">
        <v>91</v>
      </c>
      <c r="D4" s="8" t="s">
        <v>92</v>
      </c>
      <c r="E4" s="19" t="s">
        <v>93</v>
      </c>
      <c r="F4" s="13" t="n">
        <v>240000</v>
      </c>
      <c r="G4" s="19" t="s">
        <v>94</v>
      </c>
      <c r="H4" s="13" t="n">
        <v>0</v>
      </c>
      <c r="I4" s="19" t="s">
        <v>95</v>
      </c>
      <c r="J4" s="14" t="n">
        <v>1</v>
      </c>
      <c r="K4" s="14" t="n">
        <v>1</v>
      </c>
      <c r="L4" s="14" t="n">
        <v>1</v>
      </c>
      <c r="M4" s="11" t="n">
        <f aca="false">CHOOSE(Scenario,J4,K4,L4)</f>
        <v>1</v>
      </c>
      <c r="N4" s="17" t="n">
        <f aca="false">IF(G4="Y",F4*(1+LoadPct),F4)/12</f>
        <v>24400</v>
      </c>
      <c r="O4" s="17" t="n">
        <f aca="false">N4*MAX(0,Horizon-M4+1)+H4</f>
        <v>878400</v>
      </c>
      <c r="P4" s="3" t="s">
        <v>96</v>
      </c>
      <c r="Q4" s="8" t="s">
        <v>41</v>
      </c>
    </row>
    <row r="5" customFormat="false" ht="23.85" hidden="false" customHeight="false" outlineLevel="0" collapsed="false">
      <c r="A5" s="8" t="s">
        <v>97</v>
      </c>
      <c r="B5" s="8" t="s">
        <v>98</v>
      </c>
      <c r="C5" s="8" t="s">
        <v>99</v>
      </c>
      <c r="D5" s="8" t="s">
        <v>92</v>
      </c>
      <c r="E5" s="19" t="s">
        <v>100</v>
      </c>
      <c r="F5" s="13" t="n">
        <v>150000</v>
      </c>
      <c r="G5" s="19" t="s">
        <v>101</v>
      </c>
      <c r="H5" s="13" t="n">
        <v>0</v>
      </c>
      <c r="I5" s="19" t="s">
        <v>95</v>
      </c>
      <c r="J5" s="14" t="n">
        <v>1</v>
      </c>
      <c r="K5" s="14" t="n">
        <v>1</v>
      </c>
      <c r="L5" s="14" t="n">
        <v>1</v>
      </c>
      <c r="M5" s="11" t="n">
        <f aca="false">CHOOSE(Scenario,J5,K5,L5)</f>
        <v>1</v>
      </c>
      <c r="N5" s="17" t="n">
        <f aca="false">IF(G5="Y",F5*(1+LoadPct),F5)/12</f>
        <v>12500</v>
      </c>
      <c r="O5" s="17" t="n">
        <f aca="false">N5*MAX(0,Horizon-M5+1)+H5</f>
        <v>450000</v>
      </c>
      <c r="P5" s="3" t="s">
        <v>102</v>
      </c>
      <c r="Q5" s="8" t="s">
        <v>41</v>
      </c>
    </row>
    <row r="6" customFormat="false" ht="15" hidden="false" customHeight="false" outlineLevel="0" collapsed="false">
      <c r="A6" s="8" t="s">
        <v>103</v>
      </c>
      <c r="B6" s="8" t="s">
        <v>104</v>
      </c>
      <c r="C6" s="8" t="s">
        <v>105</v>
      </c>
      <c r="D6" s="8" t="s">
        <v>92</v>
      </c>
      <c r="E6" s="19" t="s">
        <v>93</v>
      </c>
      <c r="F6" s="13" t="n">
        <v>150000</v>
      </c>
      <c r="G6" s="19" t="s">
        <v>94</v>
      </c>
      <c r="H6" s="20" t="n">
        <f aca="false">RelocDefault</f>
        <v>25000</v>
      </c>
      <c r="I6" s="19" t="s">
        <v>106</v>
      </c>
      <c r="J6" s="14" t="n">
        <v>3</v>
      </c>
      <c r="K6" s="14" t="n">
        <v>2</v>
      </c>
      <c r="L6" s="14" t="n">
        <v>1</v>
      </c>
      <c r="M6" s="11" t="n">
        <f aca="false">CHOOSE(Scenario,J6,K6,L6)</f>
        <v>2</v>
      </c>
      <c r="N6" s="17" t="n">
        <f aca="false">IF(G6="Y",F6*(1+LoadPct),F6)/12</f>
        <v>15250</v>
      </c>
      <c r="O6" s="17" t="n">
        <f aca="false">N6*MAX(0,Horizon-M6+1)+H6</f>
        <v>558750</v>
      </c>
      <c r="P6" s="3" t="s">
        <v>107</v>
      </c>
      <c r="Q6" s="8" t="s">
        <v>108</v>
      </c>
    </row>
    <row r="7" customFormat="false" ht="15" hidden="false" customHeight="false" outlineLevel="0" collapsed="false">
      <c r="A7" s="8" t="s">
        <v>109</v>
      </c>
      <c r="B7" s="8" t="s">
        <v>110</v>
      </c>
      <c r="C7" s="8" t="s">
        <v>105</v>
      </c>
      <c r="D7" s="8" t="s">
        <v>92</v>
      </c>
      <c r="E7" s="19" t="s">
        <v>93</v>
      </c>
      <c r="F7" s="13" t="n">
        <v>150000</v>
      </c>
      <c r="G7" s="19" t="s">
        <v>94</v>
      </c>
      <c r="H7" s="20" t="n">
        <f aca="false">RelocDefault</f>
        <v>25000</v>
      </c>
      <c r="I7" s="19" t="s">
        <v>106</v>
      </c>
      <c r="J7" s="14" t="n">
        <v>4</v>
      </c>
      <c r="K7" s="14" t="n">
        <v>2</v>
      </c>
      <c r="L7" s="14" t="n">
        <v>1</v>
      </c>
      <c r="M7" s="11" t="n">
        <f aca="false">CHOOSE(Scenario,J7,K7,L7)</f>
        <v>2</v>
      </c>
      <c r="N7" s="17" t="n">
        <f aca="false">IF(G7="Y",F7*(1+LoadPct),F7)/12</f>
        <v>15250</v>
      </c>
      <c r="O7" s="17" t="n">
        <f aca="false">N7*MAX(0,Horizon-M7+1)+H7</f>
        <v>558750</v>
      </c>
      <c r="P7" s="3" t="s">
        <v>111</v>
      </c>
      <c r="Q7" s="8" t="s">
        <v>108</v>
      </c>
    </row>
    <row r="8" customFormat="false" ht="15" hidden="false" customHeight="false" outlineLevel="0" collapsed="false">
      <c r="A8" s="8" t="s">
        <v>112</v>
      </c>
      <c r="B8" s="8" t="s">
        <v>113</v>
      </c>
      <c r="C8" s="8" t="s">
        <v>105</v>
      </c>
      <c r="D8" s="8" t="s">
        <v>92</v>
      </c>
      <c r="E8" s="19" t="s">
        <v>93</v>
      </c>
      <c r="F8" s="13" t="n">
        <v>150000</v>
      </c>
      <c r="G8" s="19" t="s">
        <v>94</v>
      </c>
      <c r="H8" s="20" t="n">
        <f aca="false">RelocDefault</f>
        <v>25000</v>
      </c>
      <c r="I8" s="19" t="s">
        <v>106</v>
      </c>
      <c r="J8" s="14" t="n">
        <v>6</v>
      </c>
      <c r="K8" s="14" t="n">
        <v>3</v>
      </c>
      <c r="L8" s="14" t="n">
        <v>2</v>
      </c>
      <c r="M8" s="11" t="n">
        <f aca="false">CHOOSE(Scenario,J8,K8,L8)</f>
        <v>3</v>
      </c>
      <c r="N8" s="17" t="n">
        <f aca="false">IF(G8="Y",F8*(1+LoadPct),F8)/12</f>
        <v>15250</v>
      </c>
      <c r="O8" s="17" t="n">
        <f aca="false">N8*MAX(0,Horizon-M8+1)+H8</f>
        <v>543500</v>
      </c>
      <c r="P8" s="3" t="s">
        <v>114</v>
      </c>
      <c r="Q8" s="8" t="s">
        <v>108</v>
      </c>
    </row>
    <row r="9" customFormat="false" ht="23.85" hidden="false" customHeight="false" outlineLevel="0" collapsed="false">
      <c r="A9" s="8" t="s">
        <v>115</v>
      </c>
      <c r="B9" s="8" t="s">
        <v>116</v>
      </c>
      <c r="C9" s="8" t="s">
        <v>105</v>
      </c>
      <c r="D9" s="8" t="s">
        <v>92</v>
      </c>
      <c r="E9" s="19" t="s">
        <v>93</v>
      </c>
      <c r="F9" s="13" t="n">
        <v>150000</v>
      </c>
      <c r="G9" s="19" t="s">
        <v>94</v>
      </c>
      <c r="H9" s="20" t="n">
        <f aca="false">RelocDefault</f>
        <v>25000</v>
      </c>
      <c r="I9" s="19" t="s">
        <v>106</v>
      </c>
      <c r="J9" s="14" t="n">
        <v>8</v>
      </c>
      <c r="K9" s="14" t="n">
        <v>4</v>
      </c>
      <c r="L9" s="14" t="n">
        <v>2</v>
      </c>
      <c r="M9" s="11" t="n">
        <f aca="false">CHOOSE(Scenario,J9,K9,L9)</f>
        <v>4</v>
      </c>
      <c r="N9" s="17" t="n">
        <f aca="false">IF(G9="Y",F9*(1+LoadPct),F9)/12</f>
        <v>15250</v>
      </c>
      <c r="O9" s="17" t="n">
        <f aca="false">N9*MAX(0,Horizon-M9+1)+H9</f>
        <v>528250</v>
      </c>
      <c r="P9" s="3" t="s">
        <v>117</v>
      </c>
      <c r="Q9" s="8" t="s">
        <v>108</v>
      </c>
    </row>
    <row r="10" customFormat="false" ht="15" hidden="false" customHeight="false" outlineLevel="0" collapsed="false">
      <c r="A10" s="8" t="s">
        <v>118</v>
      </c>
      <c r="B10" s="8" t="s">
        <v>119</v>
      </c>
      <c r="C10" s="8" t="s">
        <v>105</v>
      </c>
      <c r="D10" s="8" t="s">
        <v>92</v>
      </c>
      <c r="E10" s="19" t="s">
        <v>93</v>
      </c>
      <c r="F10" s="13" t="n">
        <v>150000</v>
      </c>
      <c r="G10" s="19" t="s">
        <v>94</v>
      </c>
      <c r="H10" s="20" t="n">
        <f aca="false">RelocDefault</f>
        <v>25000</v>
      </c>
      <c r="I10" s="19" t="s">
        <v>106</v>
      </c>
      <c r="J10" s="14" t="n">
        <v>10</v>
      </c>
      <c r="K10" s="14" t="n">
        <v>5</v>
      </c>
      <c r="L10" s="14" t="n">
        <v>3</v>
      </c>
      <c r="M10" s="11" t="n">
        <f aca="false">CHOOSE(Scenario,J10,K10,L10)</f>
        <v>5</v>
      </c>
      <c r="N10" s="17" t="n">
        <f aca="false">IF(G10="Y",F10*(1+LoadPct),F10)/12</f>
        <v>15250</v>
      </c>
      <c r="O10" s="17" t="n">
        <f aca="false">N10*MAX(0,Horizon-M10+1)+H10</f>
        <v>513000</v>
      </c>
      <c r="P10" s="3" t="s">
        <v>120</v>
      </c>
      <c r="Q10" s="8" t="s">
        <v>108</v>
      </c>
    </row>
    <row r="11" customFormat="false" ht="23.85" hidden="false" customHeight="false" outlineLevel="0" collapsed="false">
      <c r="A11" s="8" t="s">
        <v>121</v>
      </c>
      <c r="B11" s="8" t="s">
        <v>122</v>
      </c>
      <c r="C11" s="8" t="s">
        <v>123</v>
      </c>
      <c r="D11" s="8" t="s">
        <v>92</v>
      </c>
      <c r="E11" s="19" t="s">
        <v>100</v>
      </c>
      <c r="F11" s="13" t="n">
        <v>500000</v>
      </c>
      <c r="G11" s="19" t="s">
        <v>101</v>
      </c>
      <c r="H11" s="13" t="n">
        <v>0</v>
      </c>
      <c r="I11" s="19" t="s">
        <v>124</v>
      </c>
      <c r="J11" s="14" t="n">
        <v>2</v>
      </c>
      <c r="K11" s="14" t="n">
        <v>1</v>
      </c>
      <c r="L11" s="14" t="n">
        <v>1</v>
      </c>
      <c r="M11" s="11" t="n">
        <f aca="false">CHOOSE(Scenario,J11,K11,L11)</f>
        <v>1</v>
      </c>
      <c r="N11" s="17" t="n">
        <f aca="false">IF(G11="Y",F11*(1+LoadPct),F11)/12</f>
        <v>41666.6666666667</v>
      </c>
      <c r="O11" s="17" t="n">
        <f aca="false">N11*MAX(0,Horizon-M11+1)+H11</f>
        <v>1500000</v>
      </c>
      <c r="P11" s="3" t="s">
        <v>125</v>
      </c>
      <c r="Q11" s="8" t="s">
        <v>126</v>
      </c>
    </row>
    <row r="12" customFormat="false" ht="15" hidden="false" customHeight="false" outlineLevel="0" collapsed="false">
      <c r="A12" s="8" t="s">
        <v>127</v>
      </c>
      <c r="B12" s="8" t="s">
        <v>128</v>
      </c>
      <c r="C12" s="8" t="s">
        <v>123</v>
      </c>
      <c r="D12" s="8" t="s">
        <v>92</v>
      </c>
      <c r="E12" s="19" t="s">
        <v>100</v>
      </c>
      <c r="F12" s="13" t="n">
        <v>500000</v>
      </c>
      <c r="G12" s="19" t="s">
        <v>101</v>
      </c>
      <c r="H12" s="13" t="n">
        <v>0</v>
      </c>
      <c r="I12" s="19" t="s">
        <v>124</v>
      </c>
      <c r="J12" s="14" t="n">
        <v>4</v>
      </c>
      <c r="K12" s="14" t="n">
        <v>3</v>
      </c>
      <c r="L12" s="14" t="n">
        <v>1</v>
      </c>
      <c r="M12" s="11" t="n">
        <f aca="false">CHOOSE(Scenario,J12,K12,L12)</f>
        <v>3</v>
      </c>
      <c r="N12" s="17" t="n">
        <f aca="false">IF(G12="Y",F12*(1+LoadPct),F12)/12</f>
        <v>41666.6666666667</v>
      </c>
      <c r="O12" s="17" t="n">
        <f aca="false">N12*MAX(0,Horizon-M12+1)+H12</f>
        <v>1416666.66666667</v>
      </c>
      <c r="P12" s="3" t="s">
        <v>129</v>
      </c>
      <c r="Q12" s="8" t="s">
        <v>126</v>
      </c>
    </row>
    <row r="13" customFormat="false" ht="23.85" hidden="false" customHeight="false" outlineLevel="0" collapsed="false">
      <c r="A13" s="8" t="s">
        <v>130</v>
      </c>
      <c r="B13" s="8" t="s">
        <v>131</v>
      </c>
      <c r="C13" s="8" t="s">
        <v>105</v>
      </c>
      <c r="D13" s="8" t="s">
        <v>92</v>
      </c>
      <c r="E13" s="19" t="s">
        <v>93</v>
      </c>
      <c r="F13" s="13" t="n">
        <v>120000</v>
      </c>
      <c r="G13" s="19" t="s">
        <v>94</v>
      </c>
      <c r="H13" s="13" t="n">
        <v>10000</v>
      </c>
      <c r="I13" s="19" t="s">
        <v>106</v>
      </c>
      <c r="J13" s="14" t="n">
        <v>2</v>
      </c>
      <c r="K13" s="14" t="n">
        <v>1</v>
      </c>
      <c r="L13" s="14" t="n">
        <v>1</v>
      </c>
      <c r="M13" s="11" t="n">
        <f aca="false">CHOOSE(Scenario,J13,K13,L13)</f>
        <v>1</v>
      </c>
      <c r="N13" s="17" t="n">
        <f aca="false">IF(G13="Y",F13*(1+LoadPct),F13)/12</f>
        <v>12200</v>
      </c>
      <c r="O13" s="17" t="n">
        <f aca="false">N13*MAX(0,Horizon-M13+1)+H13</f>
        <v>449200</v>
      </c>
      <c r="P13" s="3" t="s">
        <v>132</v>
      </c>
      <c r="Q13" s="8" t="s">
        <v>41</v>
      </c>
    </row>
    <row r="14" customFormat="false" ht="15" hidden="false" customHeight="false" outlineLevel="0" collapsed="false">
      <c r="A14" s="8" t="s">
        <v>133</v>
      </c>
      <c r="B14" s="8" t="s">
        <v>134</v>
      </c>
      <c r="C14" s="8" t="s">
        <v>105</v>
      </c>
      <c r="D14" s="8" t="s">
        <v>92</v>
      </c>
      <c r="E14" s="19" t="s">
        <v>93</v>
      </c>
      <c r="F14" s="13" t="n">
        <v>135000</v>
      </c>
      <c r="G14" s="19" t="s">
        <v>94</v>
      </c>
      <c r="H14" s="13" t="n">
        <v>15000</v>
      </c>
      <c r="I14" s="19" t="s">
        <v>106</v>
      </c>
      <c r="J14" s="14" t="n">
        <v>3</v>
      </c>
      <c r="K14" s="14" t="n">
        <v>2</v>
      </c>
      <c r="L14" s="14" t="n">
        <v>1</v>
      </c>
      <c r="M14" s="11" t="n">
        <f aca="false">CHOOSE(Scenario,J14,K14,L14)</f>
        <v>2</v>
      </c>
      <c r="N14" s="17" t="n">
        <f aca="false">IF(G14="Y",F14*(1+LoadPct),F14)/12</f>
        <v>13725</v>
      </c>
      <c r="O14" s="17" t="n">
        <f aca="false">N14*MAX(0,Horizon-M14+1)+H14</f>
        <v>495375</v>
      </c>
      <c r="P14" s="3" t="s">
        <v>135</v>
      </c>
      <c r="Q14" s="8" t="s">
        <v>41</v>
      </c>
    </row>
    <row r="15" customFormat="false" ht="15" hidden="false" customHeight="false" outlineLevel="0" collapsed="false">
      <c r="A15" s="8" t="s">
        <v>136</v>
      </c>
      <c r="B15" s="8" t="s">
        <v>137</v>
      </c>
      <c r="C15" s="8" t="s">
        <v>105</v>
      </c>
      <c r="D15" s="8" t="s">
        <v>92</v>
      </c>
      <c r="E15" s="19" t="s">
        <v>93</v>
      </c>
      <c r="F15" s="13" t="n">
        <v>135000</v>
      </c>
      <c r="G15" s="19" t="s">
        <v>94</v>
      </c>
      <c r="H15" s="13" t="n">
        <v>15000</v>
      </c>
      <c r="I15" s="19" t="s">
        <v>106</v>
      </c>
      <c r="J15" s="14" t="n">
        <v>6</v>
      </c>
      <c r="K15" s="14" t="n">
        <v>4</v>
      </c>
      <c r="L15" s="14" t="n">
        <v>2</v>
      </c>
      <c r="M15" s="11" t="n">
        <f aca="false">CHOOSE(Scenario,J15,K15,L15)</f>
        <v>4</v>
      </c>
      <c r="N15" s="17" t="n">
        <f aca="false">IF(G15="Y",F15*(1+LoadPct),F15)/12</f>
        <v>13725</v>
      </c>
      <c r="O15" s="17" t="n">
        <f aca="false">N15*MAX(0,Horizon-M15+1)+H15</f>
        <v>467925</v>
      </c>
      <c r="P15" s="3" t="s">
        <v>138</v>
      </c>
      <c r="Q15" s="8" t="s">
        <v>41</v>
      </c>
    </row>
    <row r="16" customFormat="false" ht="15" hidden="false" customHeight="false" outlineLevel="0" collapsed="false">
      <c r="A16" s="8" t="s">
        <v>139</v>
      </c>
      <c r="B16" s="8" t="s">
        <v>140</v>
      </c>
      <c r="C16" s="8" t="s">
        <v>105</v>
      </c>
      <c r="D16" s="8" t="s">
        <v>92</v>
      </c>
      <c r="E16" s="19" t="s">
        <v>93</v>
      </c>
      <c r="F16" s="13" t="n">
        <v>140000</v>
      </c>
      <c r="G16" s="19" t="s">
        <v>94</v>
      </c>
      <c r="H16" s="13" t="n">
        <v>15000</v>
      </c>
      <c r="I16" s="19" t="s">
        <v>106</v>
      </c>
      <c r="J16" s="14" t="n">
        <v>5</v>
      </c>
      <c r="K16" s="14" t="n">
        <v>3</v>
      </c>
      <c r="L16" s="14" t="n">
        <v>2</v>
      </c>
      <c r="M16" s="11" t="n">
        <f aca="false">CHOOSE(Scenario,J16,K16,L16)</f>
        <v>3</v>
      </c>
      <c r="N16" s="17" t="n">
        <f aca="false">IF(G16="Y",F16*(1+LoadPct),F16)/12</f>
        <v>14233.3333333333</v>
      </c>
      <c r="O16" s="17" t="n">
        <f aca="false">N16*MAX(0,Horizon-M16+1)+H16</f>
        <v>498933.333333333</v>
      </c>
      <c r="P16" s="3" t="s">
        <v>141</v>
      </c>
      <c r="Q16" s="8" t="s">
        <v>41</v>
      </c>
    </row>
    <row r="17" customFormat="false" ht="23.85" hidden="false" customHeight="false" outlineLevel="0" collapsed="false">
      <c r="A17" s="8" t="s">
        <v>142</v>
      </c>
      <c r="B17" s="8" t="s">
        <v>143</v>
      </c>
      <c r="C17" s="8" t="s">
        <v>105</v>
      </c>
      <c r="D17" s="8" t="s">
        <v>92</v>
      </c>
      <c r="E17" s="19" t="s">
        <v>93</v>
      </c>
      <c r="F17" s="13" t="n">
        <v>160000</v>
      </c>
      <c r="G17" s="19" t="s">
        <v>94</v>
      </c>
      <c r="H17" s="13" t="n">
        <v>15000</v>
      </c>
      <c r="I17" s="19" t="s">
        <v>106</v>
      </c>
      <c r="J17" s="14" t="n">
        <v>4</v>
      </c>
      <c r="K17" s="14" t="n">
        <v>3</v>
      </c>
      <c r="L17" s="14" t="n">
        <v>2</v>
      </c>
      <c r="M17" s="11" t="n">
        <f aca="false">CHOOSE(Scenario,J17,K17,L17)</f>
        <v>3</v>
      </c>
      <c r="N17" s="17" t="n">
        <f aca="false">IF(G17="Y",F17*(1+LoadPct),F17)/12</f>
        <v>16266.6666666667</v>
      </c>
      <c r="O17" s="17" t="n">
        <f aca="false">N17*MAX(0,Horizon-M17+1)+H17</f>
        <v>568066.666666667</v>
      </c>
      <c r="P17" s="3" t="s">
        <v>144</v>
      </c>
      <c r="Q17" s="8" t="s">
        <v>41</v>
      </c>
    </row>
    <row r="18" customFormat="false" ht="15" hidden="false" customHeight="false" outlineLevel="0" collapsed="false">
      <c r="A18" s="8" t="s">
        <v>145</v>
      </c>
      <c r="B18" s="8" t="s">
        <v>146</v>
      </c>
      <c r="C18" s="8" t="s">
        <v>105</v>
      </c>
      <c r="D18" s="8" t="s">
        <v>92</v>
      </c>
      <c r="E18" s="19" t="s">
        <v>93</v>
      </c>
      <c r="F18" s="13" t="n">
        <v>85000</v>
      </c>
      <c r="G18" s="19" t="s">
        <v>94</v>
      </c>
      <c r="H18" s="13" t="n">
        <v>0</v>
      </c>
      <c r="I18" s="19" t="s">
        <v>106</v>
      </c>
      <c r="J18" s="14" t="n">
        <v>7</v>
      </c>
      <c r="K18" s="14" t="n">
        <v>4</v>
      </c>
      <c r="L18" s="14" t="n">
        <v>3</v>
      </c>
      <c r="M18" s="11" t="n">
        <f aca="false">CHOOSE(Scenario,J18,K18,L18)</f>
        <v>4</v>
      </c>
      <c r="N18" s="17" t="n">
        <f aca="false">IF(G18="Y",F18*(1+LoadPct),F18)/12</f>
        <v>8641.66666666667</v>
      </c>
      <c r="O18" s="17" t="n">
        <f aca="false">N18*MAX(0,Horizon-M18+1)+H18</f>
        <v>285175</v>
      </c>
      <c r="P18" s="3"/>
      <c r="Q18" s="8" t="s">
        <v>41</v>
      </c>
    </row>
    <row r="19" customFormat="false" ht="15" hidden="false" customHeight="false" outlineLevel="0" collapsed="false">
      <c r="A19" s="8" t="s">
        <v>147</v>
      </c>
      <c r="B19" s="8" t="s">
        <v>148</v>
      </c>
      <c r="C19" s="8" t="s">
        <v>105</v>
      </c>
      <c r="D19" s="8" t="s">
        <v>92</v>
      </c>
      <c r="E19" s="19" t="s">
        <v>93</v>
      </c>
      <c r="F19" s="13" t="n">
        <v>85000</v>
      </c>
      <c r="G19" s="19" t="s">
        <v>94</v>
      </c>
      <c r="H19" s="13" t="n">
        <v>0</v>
      </c>
      <c r="I19" s="19" t="s">
        <v>106</v>
      </c>
      <c r="J19" s="14" t="n">
        <v>2</v>
      </c>
      <c r="K19" s="14" t="n">
        <v>1</v>
      </c>
      <c r="L19" s="14" t="n">
        <v>1</v>
      </c>
      <c r="M19" s="11" t="n">
        <f aca="false">CHOOSE(Scenario,J19,K19,L19)</f>
        <v>1</v>
      </c>
      <c r="N19" s="17" t="n">
        <f aca="false">IF(G19="Y",F19*(1+LoadPct),F19)/12</f>
        <v>8641.66666666667</v>
      </c>
      <c r="O19" s="17" t="n">
        <f aca="false">N19*MAX(0,Horizon-M19+1)+H19</f>
        <v>311100</v>
      </c>
      <c r="P19" s="3"/>
      <c r="Q19" s="8" t="s">
        <v>41</v>
      </c>
    </row>
    <row r="20" customFormat="false" ht="15" hidden="false" customHeight="false" outlineLevel="0" collapsed="false">
      <c r="A20" s="8" t="s">
        <v>149</v>
      </c>
      <c r="B20" s="8" t="s">
        <v>150</v>
      </c>
      <c r="C20" s="8" t="s">
        <v>105</v>
      </c>
      <c r="D20" s="8" t="s">
        <v>92</v>
      </c>
      <c r="E20" s="19" t="s">
        <v>93</v>
      </c>
      <c r="F20" s="13" t="n">
        <v>70000</v>
      </c>
      <c r="G20" s="19" t="s">
        <v>94</v>
      </c>
      <c r="H20" s="13" t="n">
        <v>0</v>
      </c>
      <c r="I20" s="19" t="s">
        <v>106</v>
      </c>
      <c r="J20" s="14" t="n">
        <v>4</v>
      </c>
      <c r="K20" s="14" t="n">
        <v>2</v>
      </c>
      <c r="L20" s="14" t="n">
        <v>1</v>
      </c>
      <c r="M20" s="11" t="n">
        <f aca="false">CHOOSE(Scenario,J20,K20,L20)</f>
        <v>2</v>
      </c>
      <c r="N20" s="17" t="n">
        <f aca="false">IF(G20="Y",F20*(1+LoadPct),F20)/12</f>
        <v>7116.66666666667</v>
      </c>
      <c r="O20" s="17" t="n">
        <f aca="false">N20*MAX(0,Horizon-M20+1)+H20</f>
        <v>249083.333333333</v>
      </c>
      <c r="P20" s="3"/>
      <c r="Q20" s="8" t="s">
        <v>41</v>
      </c>
    </row>
    <row r="21" customFormat="false" ht="15" hidden="false" customHeight="false" outlineLevel="0" collapsed="false">
      <c r="A21" s="8" t="s">
        <v>151</v>
      </c>
      <c r="B21" s="8" t="s">
        <v>152</v>
      </c>
      <c r="C21" s="8" t="s">
        <v>153</v>
      </c>
      <c r="D21" s="8" t="s">
        <v>92</v>
      </c>
      <c r="E21" s="19" t="s">
        <v>100</v>
      </c>
      <c r="F21" s="13" t="n">
        <v>60000</v>
      </c>
      <c r="G21" s="19" t="s">
        <v>101</v>
      </c>
      <c r="H21" s="13" t="n">
        <v>0</v>
      </c>
      <c r="I21" s="19" t="s">
        <v>124</v>
      </c>
      <c r="J21" s="14" t="n">
        <v>2</v>
      </c>
      <c r="K21" s="14" t="n">
        <v>1</v>
      </c>
      <c r="L21" s="14" t="n">
        <v>1</v>
      </c>
      <c r="M21" s="11" t="n">
        <f aca="false">CHOOSE(Scenario,J21,K21,L21)</f>
        <v>1</v>
      </c>
      <c r="N21" s="17" t="n">
        <f aca="false">IF(G21="Y",F21*(1+LoadPct),F21)/12</f>
        <v>5000</v>
      </c>
      <c r="O21" s="17" t="n">
        <f aca="false">N21*MAX(0,Horizon-M21+1)+H21</f>
        <v>180000</v>
      </c>
      <c r="P21" s="3" t="s">
        <v>154</v>
      </c>
      <c r="Q21" s="8" t="s">
        <v>41</v>
      </c>
    </row>
    <row r="22" customFormat="false" ht="15" hidden="false" customHeight="false" outlineLevel="0" collapsed="false">
      <c r="B22" s="21" t="s">
        <v>155</v>
      </c>
      <c r="F22" s="22" t="n">
        <f aca="false">SUM(F4:F21)</f>
        <v>3130000</v>
      </c>
      <c r="H22" s="22" t="n">
        <f aca="false">SUM(H4:H21)</f>
        <v>195000</v>
      </c>
      <c r="N22" s="22" t="n">
        <f aca="false">SUM(N4:N21)</f>
        <v>296033.333333333</v>
      </c>
      <c r="O22" s="22" t="n">
        <f aca="false">SUM(O4:O21)</f>
        <v>10452175</v>
      </c>
    </row>
    <row r="24" customFormat="false" ht="15" hidden="false" customHeight="false" outlineLevel="0" collapsed="false">
      <c r="B24" s="6" t="s">
        <v>156</v>
      </c>
    </row>
    <row r="25" customFormat="false" ht="15" hidden="false" customHeight="false" outlineLevel="0" collapsed="false">
      <c r="B25" s="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10" min="7" style="0" width="13"/>
    <col collapsed="false" customWidth="true" hidden="false" outlineLevel="0" max="13" min="11" style="0" width="8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60"/>
    <col collapsed="false" customWidth="true" hidden="false" outlineLevel="0" max="19" min="19" style="0" width="14"/>
  </cols>
  <sheetData>
    <row r="1" customFormat="false" ht="17.35" hidden="false" customHeight="false" outlineLevel="0" collapsed="false">
      <c r="A1" s="5" t="s">
        <v>158</v>
      </c>
    </row>
    <row r="2" customFormat="false" ht="15" hidden="false" customHeight="false" outlineLevel="0" collapsed="false">
      <c r="A2" s="6" t="s">
        <v>159</v>
      </c>
    </row>
    <row r="3" customFormat="false" ht="46.25" hidden="false" customHeight="false" outlineLevel="0" collapsed="false">
      <c r="A3" s="7" t="s">
        <v>73</v>
      </c>
      <c r="B3" s="7" t="s">
        <v>160</v>
      </c>
      <c r="C3" s="7" t="s">
        <v>76</v>
      </c>
      <c r="D3" s="7" t="s">
        <v>161</v>
      </c>
      <c r="E3" s="7" t="s">
        <v>162</v>
      </c>
      <c r="F3" s="7" t="s">
        <v>77</v>
      </c>
      <c r="G3" s="7" t="s">
        <v>163</v>
      </c>
      <c r="H3" s="7" t="s">
        <v>164</v>
      </c>
      <c r="I3" s="7" t="s">
        <v>165</v>
      </c>
      <c r="J3" s="7" t="s">
        <v>166</v>
      </c>
      <c r="K3" s="7" t="s">
        <v>82</v>
      </c>
      <c r="L3" s="7" t="s">
        <v>83</v>
      </c>
      <c r="M3" s="7" t="s">
        <v>84</v>
      </c>
      <c r="N3" s="7" t="s">
        <v>85</v>
      </c>
      <c r="O3" s="7" t="s">
        <v>167</v>
      </c>
      <c r="P3" s="7" t="s">
        <v>168</v>
      </c>
      <c r="Q3" s="7" t="s">
        <v>87</v>
      </c>
      <c r="R3" s="7" t="s">
        <v>169</v>
      </c>
      <c r="S3" s="7" t="s">
        <v>35</v>
      </c>
    </row>
    <row r="4" customFormat="false" ht="23.85" hidden="false" customHeight="false" outlineLevel="0" collapsed="false">
      <c r="A4" s="8" t="s">
        <v>170</v>
      </c>
      <c r="B4" s="3" t="s">
        <v>171</v>
      </c>
      <c r="C4" s="8" t="s">
        <v>92</v>
      </c>
      <c r="D4" s="19" t="s">
        <v>172</v>
      </c>
      <c r="E4" s="19" t="s">
        <v>173</v>
      </c>
      <c r="F4" s="19" t="s">
        <v>174</v>
      </c>
      <c r="G4" s="20" t="n">
        <f aca="false">RentMonthly</f>
        <v>22500</v>
      </c>
      <c r="H4" s="20" t="n">
        <f aca="false">RentMonthly</f>
        <v>22500</v>
      </c>
      <c r="I4" s="20" t="n">
        <f aca="false">RentMonthly</f>
        <v>22500</v>
      </c>
      <c r="J4" s="17" t="n">
        <f aca="false">CHOOSE(Scenario,G4,H4,I4)</f>
        <v>22500</v>
      </c>
      <c r="K4" s="14" t="n">
        <v>3</v>
      </c>
      <c r="L4" s="14" t="n">
        <v>2</v>
      </c>
      <c r="M4" s="14" t="n">
        <v>1</v>
      </c>
      <c r="N4" s="11" t="n">
        <f aca="false">CHOOSE(Scenario,K4,L4,M4)</f>
        <v>2</v>
      </c>
      <c r="O4" s="14"/>
      <c r="P4" s="17" t="n">
        <f aca="false">IF(F4="Monthly",J4,IF(F4="Annual",J4/12,0))</f>
        <v>22500</v>
      </c>
      <c r="Q4" s="17" t="n">
        <f aca="false">IF(F4="One-time",IF(N4&lt;=Horizon,J4,0),P4*MAX(0,MIN(Horizon,IF(O4="",Horizon,N4+O4-1))-N4+1))</f>
        <v>787500</v>
      </c>
      <c r="R4" s="3" t="s">
        <v>175</v>
      </c>
      <c r="S4" s="8" t="s">
        <v>41</v>
      </c>
    </row>
    <row r="5" customFormat="false" ht="15" hidden="false" customHeight="false" outlineLevel="0" collapsed="false">
      <c r="A5" s="8" t="s">
        <v>176</v>
      </c>
      <c r="B5" s="3" t="s">
        <v>177</v>
      </c>
      <c r="C5" s="8" t="s">
        <v>92</v>
      </c>
      <c r="D5" s="19" t="s">
        <v>172</v>
      </c>
      <c r="E5" s="19" t="s">
        <v>178</v>
      </c>
      <c r="F5" s="19" t="s">
        <v>179</v>
      </c>
      <c r="G5" s="20" t="n">
        <f aca="false">RentMonthly*DepositMonths</f>
        <v>45000</v>
      </c>
      <c r="H5" s="20" t="n">
        <f aca="false">RentMonthly*DepositMonths</f>
        <v>45000</v>
      </c>
      <c r="I5" s="20" t="n">
        <f aca="false">RentMonthly*DepositMonths</f>
        <v>45000</v>
      </c>
      <c r="J5" s="17" t="n">
        <f aca="false">CHOOSE(Scenario,G5,H5,I5)</f>
        <v>45000</v>
      </c>
      <c r="K5" s="14" t="n">
        <v>3</v>
      </c>
      <c r="L5" s="14" t="n">
        <v>2</v>
      </c>
      <c r="M5" s="14" t="n">
        <v>1</v>
      </c>
      <c r="N5" s="11" t="n">
        <f aca="false">CHOOSE(Scenario,K5,L5,M5)</f>
        <v>2</v>
      </c>
      <c r="O5" s="14"/>
      <c r="P5" s="17" t="n">
        <f aca="false">IF(F5="Monthly",J5,IF(F5="Annual",J5/12,0))</f>
        <v>0</v>
      </c>
      <c r="Q5" s="17" t="n">
        <f aca="false">IF(F5="One-time",IF(N5&lt;=Horizon,J5,0),P5*MAX(0,MIN(Horizon,IF(O5="",Horizon,N5+O5-1))-N5+1))</f>
        <v>45000</v>
      </c>
      <c r="R5" s="3" t="s">
        <v>180</v>
      </c>
      <c r="S5" s="8" t="s">
        <v>62</v>
      </c>
    </row>
    <row r="6" customFormat="false" ht="23.85" hidden="false" customHeight="false" outlineLevel="0" collapsed="false">
      <c r="A6" s="8" t="s">
        <v>181</v>
      </c>
      <c r="B6" s="3" t="s">
        <v>182</v>
      </c>
      <c r="C6" s="8" t="s">
        <v>92</v>
      </c>
      <c r="D6" s="19" t="s">
        <v>172</v>
      </c>
      <c r="E6" s="19" t="s">
        <v>183</v>
      </c>
      <c r="F6" s="19" t="s">
        <v>179</v>
      </c>
      <c r="G6" s="13" t="n">
        <v>150000</v>
      </c>
      <c r="H6" s="13" t="n">
        <v>300000</v>
      </c>
      <c r="I6" s="13" t="n">
        <v>600000</v>
      </c>
      <c r="J6" s="17" t="n">
        <f aca="false">CHOOSE(Scenario,G6,H6,I6)</f>
        <v>300000</v>
      </c>
      <c r="K6" s="14" t="n">
        <v>3</v>
      </c>
      <c r="L6" s="14" t="n">
        <v>2</v>
      </c>
      <c r="M6" s="14" t="n">
        <v>1</v>
      </c>
      <c r="N6" s="11" t="n">
        <f aca="false">CHOOSE(Scenario,K6,L6,M6)</f>
        <v>2</v>
      </c>
      <c r="O6" s="14"/>
      <c r="P6" s="17" t="n">
        <f aca="false">IF(F6="Monthly",J6,IF(F6="Annual",J6/12,0))</f>
        <v>0</v>
      </c>
      <c r="Q6" s="17" t="n">
        <f aca="false">IF(F6="One-time",IF(N6&lt;=Horizon,J6,0),P6*MAX(0,MIN(Horizon,IF(O6="",Horizon,N6+O6-1))-N6+1))</f>
        <v>300000</v>
      </c>
      <c r="R6" s="3" t="s">
        <v>184</v>
      </c>
      <c r="S6" s="8" t="s">
        <v>41</v>
      </c>
    </row>
    <row r="7" customFormat="false" ht="15" hidden="false" customHeight="false" outlineLevel="0" collapsed="false">
      <c r="A7" s="8" t="s">
        <v>185</v>
      </c>
      <c r="B7" s="3" t="s">
        <v>186</v>
      </c>
      <c r="C7" s="8" t="s">
        <v>92</v>
      </c>
      <c r="D7" s="19" t="s">
        <v>172</v>
      </c>
      <c r="E7" s="19" t="s">
        <v>187</v>
      </c>
      <c r="F7" s="19" t="s">
        <v>174</v>
      </c>
      <c r="G7" s="13" t="n">
        <v>3000</v>
      </c>
      <c r="H7" s="13" t="n">
        <v>4000</v>
      </c>
      <c r="I7" s="13" t="n">
        <v>6000</v>
      </c>
      <c r="J7" s="17" t="n">
        <f aca="false">CHOOSE(Scenario,G7,H7,I7)</f>
        <v>4000</v>
      </c>
      <c r="K7" s="14" t="n">
        <v>3</v>
      </c>
      <c r="L7" s="14" t="n">
        <v>2</v>
      </c>
      <c r="M7" s="14" t="n">
        <v>1</v>
      </c>
      <c r="N7" s="11" t="n">
        <f aca="false">CHOOSE(Scenario,K7,L7,M7)</f>
        <v>2</v>
      </c>
      <c r="O7" s="14"/>
      <c r="P7" s="17" t="n">
        <f aca="false">IF(F7="Monthly",J7,IF(F7="Annual",J7/12,0))</f>
        <v>4000</v>
      </c>
      <c r="Q7" s="17" t="n">
        <f aca="false">IF(F7="One-time",IF(N7&lt;=Horizon,J7,0),P7*MAX(0,MIN(Horizon,IF(O7="",Horizon,N7+O7-1))-N7+1))</f>
        <v>140000</v>
      </c>
      <c r="R7" s="3"/>
      <c r="S7" s="8" t="s">
        <v>41</v>
      </c>
    </row>
    <row r="8" customFormat="false" ht="35.05" hidden="false" customHeight="false" outlineLevel="0" collapsed="false">
      <c r="A8" s="8" t="s">
        <v>188</v>
      </c>
      <c r="B8" s="3" t="s">
        <v>189</v>
      </c>
      <c r="C8" s="8" t="s">
        <v>92</v>
      </c>
      <c r="D8" s="19" t="s">
        <v>190</v>
      </c>
      <c r="E8" s="19" t="s">
        <v>191</v>
      </c>
      <c r="F8" s="19" t="s">
        <v>179</v>
      </c>
      <c r="G8" s="13" t="n">
        <v>250000</v>
      </c>
      <c r="H8" s="13" t="n">
        <v>450000</v>
      </c>
      <c r="I8" s="13" t="n">
        <v>750000</v>
      </c>
      <c r="J8" s="17" t="n">
        <f aca="false">CHOOSE(Scenario,G8,H8,I8)</f>
        <v>450000</v>
      </c>
      <c r="K8" s="14" t="n">
        <v>3</v>
      </c>
      <c r="L8" s="14" t="n">
        <v>2</v>
      </c>
      <c r="M8" s="14" t="n">
        <v>1</v>
      </c>
      <c r="N8" s="11" t="n">
        <f aca="false">CHOOSE(Scenario,K8,L8,M8)</f>
        <v>2</v>
      </c>
      <c r="O8" s="14"/>
      <c r="P8" s="17" t="n">
        <f aca="false">IF(F8="Monthly",J8,IF(F8="Annual",J8/12,0))</f>
        <v>0</v>
      </c>
      <c r="Q8" s="17" t="n">
        <f aca="false">IF(F8="One-time",IF(N8&lt;=Horizon,J8,0),P8*MAX(0,MIN(Horizon,IF(O8="",Horizon,N8+O8-1))-N8+1))</f>
        <v>450000</v>
      </c>
      <c r="R8" s="3" t="s">
        <v>192</v>
      </c>
      <c r="S8" s="8" t="s">
        <v>41</v>
      </c>
    </row>
    <row r="9" customFormat="false" ht="15" hidden="false" customHeight="false" outlineLevel="0" collapsed="false">
      <c r="A9" s="8" t="s">
        <v>193</v>
      </c>
      <c r="B9" s="3" t="s">
        <v>194</v>
      </c>
      <c r="C9" s="8" t="s">
        <v>92</v>
      </c>
      <c r="D9" s="19" t="s">
        <v>190</v>
      </c>
      <c r="E9" s="19" t="s">
        <v>195</v>
      </c>
      <c r="F9" s="19" t="s">
        <v>196</v>
      </c>
      <c r="G9" s="13" t="n">
        <v>20000</v>
      </c>
      <c r="H9" s="13" t="n">
        <v>30000</v>
      </c>
      <c r="I9" s="13" t="n">
        <v>45000</v>
      </c>
      <c r="J9" s="17" t="n">
        <f aca="false">CHOOSE(Scenario,G9,H9,I9)</f>
        <v>30000</v>
      </c>
      <c r="K9" s="14" t="n">
        <v>4</v>
      </c>
      <c r="L9" s="14" t="n">
        <v>3</v>
      </c>
      <c r="M9" s="14" t="n">
        <v>2</v>
      </c>
      <c r="N9" s="11" t="n">
        <f aca="false">CHOOSE(Scenario,K9,L9,M9)</f>
        <v>3</v>
      </c>
      <c r="O9" s="14"/>
      <c r="P9" s="17" t="n">
        <f aca="false">IF(F9="Monthly",J9,IF(F9="Annual",J9/12,0))</f>
        <v>2500</v>
      </c>
      <c r="Q9" s="17" t="n">
        <f aca="false">IF(F9="One-time",IF(N9&lt;=Horizon,J9,0),P9*MAX(0,MIN(Horizon,IF(O9="",Horizon,N9+O9-1))-N9+1))</f>
        <v>85000</v>
      </c>
      <c r="R9" s="3" t="s">
        <v>197</v>
      </c>
      <c r="S9" s="8" t="s">
        <v>41</v>
      </c>
    </row>
    <row r="10" customFormat="false" ht="23.85" hidden="false" customHeight="false" outlineLevel="0" collapsed="false">
      <c r="A10" s="8" t="s">
        <v>198</v>
      </c>
      <c r="B10" s="3" t="s">
        <v>199</v>
      </c>
      <c r="C10" s="8" t="s">
        <v>92</v>
      </c>
      <c r="D10" s="19" t="s">
        <v>190</v>
      </c>
      <c r="E10" s="19" t="s">
        <v>200</v>
      </c>
      <c r="F10" s="19" t="s">
        <v>179</v>
      </c>
      <c r="G10" s="13" t="n">
        <v>350000</v>
      </c>
      <c r="H10" s="13" t="n">
        <v>750000</v>
      </c>
      <c r="I10" s="13" t="n">
        <v>1500000</v>
      </c>
      <c r="J10" s="17" t="n">
        <f aca="false">CHOOSE(Scenario,G10,H10,I10)</f>
        <v>750000</v>
      </c>
      <c r="K10" s="14" t="n">
        <v>5</v>
      </c>
      <c r="L10" s="14" t="n">
        <v>3</v>
      </c>
      <c r="M10" s="14" t="n">
        <v>2</v>
      </c>
      <c r="N10" s="11" t="n">
        <f aca="false">CHOOSE(Scenario,K10,L10,M10)</f>
        <v>3</v>
      </c>
      <c r="O10" s="14"/>
      <c r="P10" s="17" t="n">
        <f aca="false">IF(F10="Monthly",J10,IF(F10="Annual",J10/12,0))</f>
        <v>0</v>
      </c>
      <c r="Q10" s="17" t="n">
        <f aca="false">IF(F10="One-time",IF(N10&lt;=Horizon,J10,0),P10*MAX(0,MIN(Horizon,IF(O10="",Horizon,N10+O10-1))-N10+1))</f>
        <v>750000</v>
      </c>
      <c r="R10" s="3" t="s">
        <v>201</v>
      </c>
      <c r="S10" s="8" t="s">
        <v>41</v>
      </c>
    </row>
    <row r="11" customFormat="false" ht="15" hidden="false" customHeight="false" outlineLevel="0" collapsed="false">
      <c r="A11" s="8" t="s">
        <v>202</v>
      </c>
      <c r="B11" s="3" t="s">
        <v>203</v>
      </c>
      <c r="C11" s="8" t="s">
        <v>92</v>
      </c>
      <c r="D11" s="19" t="s">
        <v>190</v>
      </c>
      <c r="E11" s="19" t="s">
        <v>200</v>
      </c>
      <c r="F11" s="19" t="s">
        <v>196</v>
      </c>
      <c r="G11" s="13" t="n">
        <v>30000</v>
      </c>
      <c r="H11" s="13" t="n">
        <v>40000</v>
      </c>
      <c r="I11" s="13" t="n">
        <v>60000</v>
      </c>
      <c r="J11" s="17" t="n">
        <f aca="false">CHOOSE(Scenario,G11,H11,I11)</f>
        <v>40000</v>
      </c>
      <c r="K11" s="14" t="n">
        <v>6</v>
      </c>
      <c r="L11" s="14" t="n">
        <v>4</v>
      </c>
      <c r="M11" s="14" t="n">
        <v>3</v>
      </c>
      <c r="N11" s="11" t="n">
        <f aca="false">CHOOSE(Scenario,K11,L11,M11)</f>
        <v>4</v>
      </c>
      <c r="O11" s="14"/>
      <c r="P11" s="17" t="n">
        <f aca="false">IF(F11="Monthly",J11,IF(F11="Annual",J11/12,0))</f>
        <v>3333.33333333333</v>
      </c>
      <c r="Q11" s="17" t="n">
        <f aca="false">IF(F11="One-time",IF(N11&lt;=Horizon,J11,0),P11*MAX(0,MIN(Horizon,IF(O11="",Horizon,N11+O11-1))-N11+1))</f>
        <v>110000</v>
      </c>
      <c r="R11" s="3"/>
      <c r="S11" s="8" t="s">
        <v>41</v>
      </c>
    </row>
    <row r="12" customFormat="false" ht="15" hidden="false" customHeight="false" outlineLevel="0" collapsed="false">
      <c r="A12" s="8" t="s">
        <v>204</v>
      </c>
      <c r="B12" s="3" t="s">
        <v>205</v>
      </c>
      <c r="C12" s="8" t="s">
        <v>92</v>
      </c>
      <c r="D12" s="19" t="s">
        <v>206</v>
      </c>
      <c r="E12" s="19" t="s">
        <v>207</v>
      </c>
      <c r="F12" s="19" t="s">
        <v>174</v>
      </c>
      <c r="G12" s="13" t="n">
        <v>6000</v>
      </c>
      <c r="H12" s="13" t="n">
        <v>10000</v>
      </c>
      <c r="I12" s="13" t="n">
        <v>16000</v>
      </c>
      <c r="J12" s="17" t="n">
        <f aca="false">CHOOSE(Scenario,G12,H12,I12)</f>
        <v>10000</v>
      </c>
      <c r="K12" s="14" t="n">
        <v>4</v>
      </c>
      <c r="L12" s="14" t="n">
        <v>3</v>
      </c>
      <c r="M12" s="14" t="n">
        <v>2</v>
      </c>
      <c r="N12" s="11" t="n">
        <f aca="false">CHOOSE(Scenario,K12,L12,M12)</f>
        <v>3</v>
      </c>
      <c r="O12" s="14"/>
      <c r="P12" s="17" t="n">
        <f aca="false">IF(F12="Monthly",J12,IF(F12="Annual",J12/12,0))</f>
        <v>10000</v>
      </c>
      <c r="Q12" s="17" t="n">
        <f aca="false">IF(F12="One-time",IF(N12&lt;=Horizon,J12,0),P12*MAX(0,MIN(Horizon,IF(O12="",Horizon,N12+O12-1))-N12+1))</f>
        <v>340000</v>
      </c>
      <c r="R12" s="3"/>
      <c r="S12" s="8" t="s">
        <v>41</v>
      </c>
    </row>
    <row r="13" customFormat="false" ht="15" hidden="false" customHeight="false" outlineLevel="0" collapsed="false">
      <c r="A13" s="8" t="s">
        <v>208</v>
      </c>
      <c r="B13" s="3" t="s">
        <v>209</v>
      </c>
      <c r="C13" s="8" t="s">
        <v>92</v>
      </c>
      <c r="D13" s="19" t="s">
        <v>206</v>
      </c>
      <c r="E13" s="19" t="s">
        <v>210</v>
      </c>
      <c r="F13" s="19" t="s">
        <v>174</v>
      </c>
      <c r="G13" s="13" t="n">
        <v>5000</v>
      </c>
      <c r="H13" s="13" t="n">
        <v>8000</v>
      </c>
      <c r="I13" s="13" t="n">
        <v>12000</v>
      </c>
      <c r="J13" s="17" t="n">
        <f aca="false">CHOOSE(Scenario,G13,H13,I13)</f>
        <v>8000</v>
      </c>
      <c r="K13" s="14" t="n">
        <v>1</v>
      </c>
      <c r="L13" s="14" t="n">
        <v>1</v>
      </c>
      <c r="M13" s="14" t="n">
        <v>1</v>
      </c>
      <c r="N13" s="11" t="n">
        <f aca="false">CHOOSE(Scenario,K13,L13,M13)</f>
        <v>1</v>
      </c>
      <c r="O13" s="14"/>
      <c r="P13" s="17" t="n">
        <f aca="false">IF(F13="Monthly",J13,IF(F13="Annual",J13/12,0))</f>
        <v>8000</v>
      </c>
      <c r="Q13" s="17" t="n">
        <f aca="false">IF(F13="One-time",IF(N13&lt;=Horizon,J13,0),P13*MAX(0,MIN(Horizon,IF(O13="",Horizon,N13+O13-1))-N13+1))</f>
        <v>288000</v>
      </c>
      <c r="R13" s="3"/>
      <c r="S13" s="8" t="s">
        <v>41</v>
      </c>
    </row>
    <row r="14" customFormat="false" ht="15" hidden="false" customHeight="false" outlineLevel="0" collapsed="false">
      <c r="A14" s="8" t="s">
        <v>211</v>
      </c>
      <c r="B14" s="3" t="s">
        <v>212</v>
      </c>
      <c r="C14" s="8" t="s">
        <v>92</v>
      </c>
      <c r="D14" s="19" t="s">
        <v>213</v>
      </c>
      <c r="E14" s="19" t="s">
        <v>214</v>
      </c>
      <c r="F14" s="19" t="s">
        <v>196</v>
      </c>
      <c r="G14" s="13" t="n">
        <v>100000</v>
      </c>
      <c r="H14" s="13" t="n">
        <v>150000</v>
      </c>
      <c r="I14" s="13" t="n">
        <v>250000</v>
      </c>
      <c r="J14" s="17" t="n">
        <f aca="false">CHOOSE(Scenario,G14,H14,I14)</f>
        <v>150000</v>
      </c>
      <c r="K14" s="14" t="n">
        <v>9</v>
      </c>
      <c r="L14" s="14" t="n">
        <v>7</v>
      </c>
      <c r="M14" s="14" t="n">
        <v>5</v>
      </c>
      <c r="N14" s="11" t="n">
        <f aca="false">CHOOSE(Scenario,K14,L14,M14)</f>
        <v>7</v>
      </c>
      <c r="O14" s="14"/>
      <c r="P14" s="17" t="n">
        <f aca="false">IF(F14="Monthly",J14,IF(F14="Annual",J14/12,0))</f>
        <v>12500</v>
      </c>
      <c r="Q14" s="17" t="n">
        <f aca="false">IF(F14="One-time",IF(N14&lt;=Horizon,J14,0),P14*MAX(0,MIN(Horizon,IF(O14="",Horizon,N14+O14-1))-N14+1))</f>
        <v>375000</v>
      </c>
      <c r="R14" s="3" t="s">
        <v>215</v>
      </c>
      <c r="S14" s="8" t="s">
        <v>41</v>
      </c>
    </row>
    <row r="15" customFormat="false" ht="23.85" hidden="false" customHeight="false" outlineLevel="0" collapsed="false">
      <c r="A15" s="8" t="s">
        <v>216</v>
      </c>
      <c r="B15" s="3" t="s">
        <v>217</v>
      </c>
      <c r="C15" s="8" t="s">
        <v>92</v>
      </c>
      <c r="D15" s="19" t="s">
        <v>213</v>
      </c>
      <c r="E15" s="19" t="s">
        <v>218</v>
      </c>
      <c r="F15" s="19" t="s">
        <v>196</v>
      </c>
      <c r="G15" s="13" t="n">
        <v>75000</v>
      </c>
      <c r="H15" s="13" t="n">
        <v>150000</v>
      </c>
      <c r="I15" s="13" t="n">
        <v>300000</v>
      </c>
      <c r="J15" s="17" t="n">
        <f aca="false">CHOOSE(Scenario,G15,H15,I15)</f>
        <v>150000</v>
      </c>
      <c r="K15" s="14" t="n">
        <v>4</v>
      </c>
      <c r="L15" s="14" t="n">
        <v>3</v>
      </c>
      <c r="M15" s="14" t="n">
        <v>2</v>
      </c>
      <c r="N15" s="11" t="n">
        <f aca="false">CHOOSE(Scenario,K15,L15,M15)</f>
        <v>3</v>
      </c>
      <c r="O15" s="14"/>
      <c r="P15" s="17" t="n">
        <f aca="false">IF(F15="Monthly",J15,IF(F15="Annual",J15/12,0))</f>
        <v>12500</v>
      </c>
      <c r="Q15" s="17" t="n">
        <f aca="false">IF(F15="One-time",IF(N15&lt;=Horizon,J15,0),P15*MAX(0,MIN(Horizon,IF(O15="",Horizon,N15+O15-1))-N15+1))</f>
        <v>425000</v>
      </c>
      <c r="R15" s="3" t="s">
        <v>219</v>
      </c>
      <c r="S15" s="8" t="s">
        <v>41</v>
      </c>
    </row>
    <row r="16" customFormat="false" ht="15" hidden="false" customHeight="false" outlineLevel="0" collapsed="false">
      <c r="A16" s="8" t="s">
        <v>220</v>
      </c>
      <c r="B16" s="3" t="s">
        <v>221</v>
      </c>
      <c r="C16" s="8" t="s">
        <v>92</v>
      </c>
      <c r="D16" s="19" t="s">
        <v>222</v>
      </c>
      <c r="E16" s="19" t="s">
        <v>223</v>
      </c>
      <c r="F16" s="19" t="s">
        <v>174</v>
      </c>
      <c r="G16" s="13" t="n">
        <v>10000</v>
      </c>
      <c r="H16" s="13" t="n">
        <v>15000</v>
      </c>
      <c r="I16" s="13" t="n">
        <v>20000</v>
      </c>
      <c r="J16" s="17" t="n">
        <f aca="false">CHOOSE(Scenario,G16,H16,I16)</f>
        <v>15000</v>
      </c>
      <c r="K16" s="14" t="n">
        <v>1</v>
      </c>
      <c r="L16" s="14" t="n">
        <v>1</v>
      </c>
      <c r="M16" s="14" t="n">
        <v>1</v>
      </c>
      <c r="N16" s="11" t="n">
        <f aca="false">CHOOSE(Scenario,K16,L16,M16)</f>
        <v>1</v>
      </c>
      <c r="O16" s="14"/>
      <c r="P16" s="17" t="n">
        <f aca="false">IF(F16="Monthly",J16,IF(F16="Annual",J16/12,0))</f>
        <v>15000</v>
      </c>
      <c r="Q16" s="17" t="n">
        <f aca="false">IF(F16="One-time",IF(N16&lt;=Horizon,J16,0),P16*MAX(0,MIN(Horizon,IF(O16="",Horizon,N16+O16-1))-N16+1))</f>
        <v>540000</v>
      </c>
      <c r="R16" s="3" t="s">
        <v>224</v>
      </c>
      <c r="S16" s="8" t="s">
        <v>41</v>
      </c>
    </row>
    <row r="17" customFormat="false" ht="23.85" hidden="false" customHeight="false" outlineLevel="0" collapsed="false">
      <c r="A17" s="8" t="s">
        <v>225</v>
      </c>
      <c r="B17" s="3" t="s">
        <v>226</v>
      </c>
      <c r="C17" s="8" t="s">
        <v>92</v>
      </c>
      <c r="D17" s="19" t="s">
        <v>222</v>
      </c>
      <c r="E17" s="19" t="s">
        <v>227</v>
      </c>
      <c r="F17" s="19" t="s">
        <v>179</v>
      </c>
      <c r="G17" s="13" t="n">
        <v>40000</v>
      </c>
      <c r="H17" s="13" t="n">
        <v>60000</v>
      </c>
      <c r="I17" s="13" t="n">
        <v>90000</v>
      </c>
      <c r="J17" s="17" t="n">
        <f aca="false">CHOOSE(Scenario,G17,H17,I17)</f>
        <v>60000</v>
      </c>
      <c r="K17" s="14" t="n">
        <v>1</v>
      </c>
      <c r="L17" s="14" t="n">
        <v>1</v>
      </c>
      <c r="M17" s="14" t="n">
        <v>1</v>
      </c>
      <c r="N17" s="11" t="n">
        <f aca="false">CHOOSE(Scenario,K17,L17,M17)</f>
        <v>1</v>
      </c>
      <c r="O17" s="14"/>
      <c r="P17" s="17" t="n">
        <f aca="false">IF(F17="Monthly",J17,IF(F17="Annual",J17/12,0))</f>
        <v>0</v>
      </c>
      <c r="Q17" s="17" t="n">
        <f aca="false">IF(F17="One-time",IF(N17&lt;=Horizon,J17,0),P17*MAX(0,MIN(Horizon,IF(O17="",Horizon,N17+O17-1))-N17+1))</f>
        <v>60000</v>
      </c>
      <c r="R17" s="3" t="s">
        <v>228</v>
      </c>
      <c r="S17" s="8" t="s">
        <v>41</v>
      </c>
    </row>
    <row r="18" customFormat="false" ht="23.85" hidden="false" customHeight="false" outlineLevel="0" collapsed="false">
      <c r="A18" s="8" t="s">
        <v>229</v>
      </c>
      <c r="B18" s="3" t="s">
        <v>230</v>
      </c>
      <c r="C18" s="8" t="s">
        <v>92</v>
      </c>
      <c r="D18" s="19" t="s">
        <v>222</v>
      </c>
      <c r="E18" s="19" t="s">
        <v>231</v>
      </c>
      <c r="F18" s="19" t="s">
        <v>179</v>
      </c>
      <c r="G18" s="13" t="n">
        <v>50000</v>
      </c>
      <c r="H18" s="13" t="n">
        <v>75000</v>
      </c>
      <c r="I18" s="13" t="n">
        <v>125000</v>
      </c>
      <c r="J18" s="17" t="n">
        <f aca="false">CHOOSE(Scenario,G18,H18,I18)</f>
        <v>75000</v>
      </c>
      <c r="K18" s="14" t="n">
        <v>1</v>
      </c>
      <c r="L18" s="14" t="n">
        <v>1</v>
      </c>
      <c r="M18" s="14" t="n">
        <v>1</v>
      </c>
      <c r="N18" s="11" t="n">
        <f aca="false">CHOOSE(Scenario,K18,L18,M18)</f>
        <v>1</v>
      </c>
      <c r="O18" s="14"/>
      <c r="P18" s="17" t="n">
        <f aca="false">IF(F18="Monthly",J18,IF(F18="Annual",J18/12,0))</f>
        <v>0</v>
      </c>
      <c r="Q18" s="17" t="n">
        <f aca="false">IF(F18="One-time",IF(N18&lt;=Horizon,J18,0),P18*MAX(0,MIN(Horizon,IF(O18="",Horizon,N18+O18-1))-N18+1))</f>
        <v>75000</v>
      </c>
      <c r="R18" s="3" t="s">
        <v>232</v>
      </c>
      <c r="S18" s="8" t="s">
        <v>41</v>
      </c>
    </row>
    <row r="19" customFormat="false" ht="15" hidden="false" customHeight="false" outlineLevel="0" collapsed="false">
      <c r="A19" s="8" t="s">
        <v>233</v>
      </c>
      <c r="B19" s="3" t="s">
        <v>234</v>
      </c>
      <c r="C19" s="8" t="s">
        <v>92</v>
      </c>
      <c r="D19" s="19" t="s">
        <v>222</v>
      </c>
      <c r="E19" s="19" t="s">
        <v>227</v>
      </c>
      <c r="F19" s="19" t="s">
        <v>174</v>
      </c>
      <c r="G19" s="13" t="n">
        <v>3000</v>
      </c>
      <c r="H19" s="13" t="n">
        <v>5000</v>
      </c>
      <c r="I19" s="13" t="n">
        <v>8000</v>
      </c>
      <c r="J19" s="17" t="n">
        <f aca="false">CHOOSE(Scenario,G19,H19,I19)</f>
        <v>5000</v>
      </c>
      <c r="K19" s="14" t="n">
        <v>2</v>
      </c>
      <c r="L19" s="14" t="n">
        <v>1</v>
      </c>
      <c r="M19" s="14" t="n">
        <v>1</v>
      </c>
      <c r="N19" s="11" t="n">
        <f aca="false">CHOOSE(Scenario,K19,L19,M19)</f>
        <v>1</v>
      </c>
      <c r="O19" s="14"/>
      <c r="P19" s="17" t="n">
        <f aca="false">IF(F19="Monthly",J19,IF(F19="Annual",J19/12,0))</f>
        <v>5000</v>
      </c>
      <c r="Q19" s="17" t="n">
        <f aca="false">IF(F19="One-time",IF(N19&lt;=Horizon,J19,0),P19*MAX(0,MIN(Horizon,IF(O19="",Horizon,N19+O19-1))-N19+1))</f>
        <v>180000</v>
      </c>
      <c r="R19" s="3"/>
      <c r="S19" s="8" t="s">
        <v>41</v>
      </c>
    </row>
    <row r="20" customFormat="false" ht="15" hidden="false" customHeight="false" outlineLevel="0" collapsed="false">
      <c r="A20" s="8" t="s">
        <v>235</v>
      </c>
      <c r="B20" s="3" t="s">
        <v>236</v>
      </c>
      <c r="C20" s="8" t="s">
        <v>92</v>
      </c>
      <c r="D20" s="19" t="s">
        <v>237</v>
      </c>
      <c r="E20" s="19" t="s">
        <v>238</v>
      </c>
      <c r="F20" s="19" t="s">
        <v>174</v>
      </c>
      <c r="G20" s="20" t="n">
        <f aca="false">FinPhase1</f>
        <v>25000</v>
      </c>
      <c r="H20" s="20" t="n">
        <f aca="false">FinPhase1</f>
        <v>25000</v>
      </c>
      <c r="I20" s="20" t="n">
        <f aca="false">FinPhase1</f>
        <v>25000</v>
      </c>
      <c r="J20" s="17" t="n">
        <f aca="false">CHOOSE(Scenario,G20,H20,I20)</f>
        <v>25000</v>
      </c>
      <c r="K20" s="14" t="n">
        <v>1</v>
      </c>
      <c r="L20" s="14" t="n">
        <v>1</v>
      </c>
      <c r="M20" s="14" t="n">
        <v>1</v>
      </c>
      <c r="N20" s="11" t="n">
        <f aca="false">CHOOSE(Scenario,K20,L20,M20)</f>
        <v>1</v>
      </c>
      <c r="O20" s="14" t="n">
        <v>6</v>
      </c>
      <c r="P20" s="17" t="n">
        <f aca="false">IF(F20="Monthly",J20,IF(F20="Annual",J20/12,0))</f>
        <v>25000</v>
      </c>
      <c r="Q20" s="17" t="n">
        <f aca="false">IF(F20="One-time",IF(N20&lt;=Horizon,J20,0),P20*MAX(0,MIN(Horizon,IF(O20="",Horizon,N20+O20-1))-N20+1))</f>
        <v>150000</v>
      </c>
      <c r="R20" s="3" t="s">
        <v>239</v>
      </c>
      <c r="S20" s="8" t="s">
        <v>41</v>
      </c>
    </row>
    <row r="21" customFormat="false" ht="15" hidden="false" customHeight="false" outlineLevel="0" collapsed="false">
      <c r="A21" s="8" t="s">
        <v>240</v>
      </c>
      <c r="B21" s="3" t="s">
        <v>241</v>
      </c>
      <c r="C21" s="8" t="s">
        <v>92</v>
      </c>
      <c r="D21" s="19" t="s">
        <v>237</v>
      </c>
      <c r="E21" s="19" t="s">
        <v>238</v>
      </c>
      <c r="F21" s="19" t="s">
        <v>174</v>
      </c>
      <c r="G21" s="20" t="n">
        <f aca="false">FinPhase2</f>
        <v>15000</v>
      </c>
      <c r="H21" s="20" t="n">
        <f aca="false">FinPhase2</f>
        <v>15000</v>
      </c>
      <c r="I21" s="20" t="n">
        <f aca="false">FinPhase2</f>
        <v>15000</v>
      </c>
      <c r="J21" s="17" t="n">
        <f aca="false">CHOOSE(Scenario,G21,H21,I21)</f>
        <v>15000</v>
      </c>
      <c r="K21" s="14" t="n">
        <v>7</v>
      </c>
      <c r="L21" s="14" t="n">
        <v>7</v>
      </c>
      <c r="M21" s="14" t="n">
        <v>7</v>
      </c>
      <c r="N21" s="11" t="n">
        <f aca="false">CHOOSE(Scenario,K21,L21,M21)</f>
        <v>7</v>
      </c>
      <c r="O21" s="14"/>
      <c r="P21" s="17" t="n">
        <f aca="false">IF(F21="Monthly",J21,IF(F21="Annual",J21/12,0))</f>
        <v>15000</v>
      </c>
      <c r="Q21" s="17" t="n">
        <f aca="false">IF(F21="One-time",IF(N21&lt;=Horizon,J21,0),P21*MAX(0,MIN(Horizon,IF(O21="",Horizon,N21+O21-1))-N21+1))</f>
        <v>450000</v>
      </c>
      <c r="R21" s="3"/>
      <c r="S21" s="8" t="s">
        <v>41</v>
      </c>
    </row>
    <row r="22" customFormat="false" ht="15" hidden="false" customHeight="false" outlineLevel="0" collapsed="false">
      <c r="A22" s="8" t="s">
        <v>242</v>
      </c>
      <c r="B22" s="3" t="s">
        <v>243</v>
      </c>
      <c r="C22" s="8" t="s">
        <v>92</v>
      </c>
      <c r="D22" s="19" t="s">
        <v>237</v>
      </c>
      <c r="E22" s="19" t="s">
        <v>244</v>
      </c>
      <c r="F22" s="19" t="s">
        <v>196</v>
      </c>
      <c r="G22" s="13" t="n">
        <v>30000</v>
      </c>
      <c r="H22" s="13" t="n">
        <v>40000</v>
      </c>
      <c r="I22" s="13" t="n">
        <v>60000</v>
      </c>
      <c r="J22" s="17" t="n">
        <f aca="false">CHOOSE(Scenario,G22,H22,I22)</f>
        <v>40000</v>
      </c>
      <c r="K22" s="14" t="n">
        <v>12</v>
      </c>
      <c r="L22" s="14" t="n">
        <v>12</v>
      </c>
      <c r="M22" s="14" t="n">
        <v>12</v>
      </c>
      <c r="N22" s="11" t="n">
        <f aca="false">CHOOSE(Scenario,K22,L22,M22)</f>
        <v>12</v>
      </c>
      <c r="O22" s="14"/>
      <c r="P22" s="17" t="n">
        <f aca="false">IF(F22="Monthly",J22,IF(F22="Annual",J22/12,0))</f>
        <v>3333.33333333333</v>
      </c>
      <c r="Q22" s="17" t="n">
        <f aca="false">IF(F22="One-time",IF(N22&lt;=Horizon,J22,0),P22*MAX(0,MIN(Horizon,IF(O22="",Horizon,N22+O22-1))-N22+1))</f>
        <v>83333.3333333333</v>
      </c>
      <c r="R22" s="3"/>
      <c r="S22" s="8" t="s">
        <v>41</v>
      </c>
    </row>
    <row r="23" customFormat="false" ht="23.85" hidden="false" customHeight="false" outlineLevel="0" collapsed="false">
      <c r="A23" s="8" t="s">
        <v>245</v>
      </c>
      <c r="B23" s="3" t="s">
        <v>246</v>
      </c>
      <c r="C23" s="8" t="s">
        <v>92</v>
      </c>
      <c r="D23" s="19" t="s">
        <v>237</v>
      </c>
      <c r="E23" s="19" t="s">
        <v>247</v>
      </c>
      <c r="F23" s="19" t="s">
        <v>174</v>
      </c>
      <c r="G23" s="13" t="n">
        <v>800</v>
      </c>
      <c r="H23" s="13" t="n">
        <v>1500</v>
      </c>
      <c r="I23" s="13" t="n">
        <v>3000</v>
      </c>
      <c r="J23" s="17" t="n">
        <f aca="false">CHOOSE(Scenario,G23,H23,I23)</f>
        <v>1500</v>
      </c>
      <c r="K23" s="14" t="n">
        <v>1</v>
      </c>
      <c r="L23" s="14" t="n">
        <v>1</v>
      </c>
      <c r="M23" s="14" t="n">
        <v>1</v>
      </c>
      <c r="N23" s="11" t="n">
        <f aca="false">CHOOSE(Scenario,K23,L23,M23)</f>
        <v>1</v>
      </c>
      <c r="O23" s="14"/>
      <c r="P23" s="17" t="n">
        <f aca="false">IF(F23="Monthly",J23,IF(F23="Annual",J23/12,0))</f>
        <v>1500</v>
      </c>
      <c r="Q23" s="17" t="n">
        <f aca="false">IF(F23="One-time",IF(N23&lt;=Horizon,J23,0),P23*MAX(0,MIN(Horizon,IF(O23="",Horizon,N23+O23-1))-N23+1))</f>
        <v>54000</v>
      </c>
      <c r="R23" s="3"/>
      <c r="S23" s="8" t="s">
        <v>41</v>
      </c>
    </row>
    <row r="24" customFormat="false" ht="15" hidden="false" customHeight="false" outlineLevel="0" collapsed="false">
      <c r="A24" s="8" t="s">
        <v>248</v>
      </c>
      <c r="B24" s="3" t="s">
        <v>249</v>
      </c>
      <c r="C24" s="8" t="s">
        <v>92</v>
      </c>
      <c r="D24" s="19" t="s">
        <v>250</v>
      </c>
      <c r="E24" s="19" t="s">
        <v>251</v>
      </c>
      <c r="F24" s="19" t="s">
        <v>196</v>
      </c>
      <c r="G24" s="13" t="n">
        <v>60000</v>
      </c>
      <c r="H24" s="13" t="n">
        <v>90000</v>
      </c>
      <c r="I24" s="13" t="n">
        <v>140000</v>
      </c>
      <c r="J24" s="17" t="n">
        <f aca="false">CHOOSE(Scenario,G24,H24,I24)</f>
        <v>90000</v>
      </c>
      <c r="K24" s="14" t="n">
        <v>1</v>
      </c>
      <c r="L24" s="14" t="n">
        <v>1</v>
      </c>
      <c r="M24" s="14" t="n">
        <v>1</v>
      </c>
      <c r="N24" s="11" t="n">
        <f aca="false">CHOOSE(Scenario,K24,L24,M24)</f>
        <v>1</v>
      </c>
      <c r="O24" s="14"/>
      <c r="P24" s="17" t="n">
        <f aca="false">IF(F24="Monthly",J24,IF(F24="Annual",J24/12,0))</f>
        <v>7500</v>
      </c>
      <c r="Q24" s="17" t="n">
        <f aca="false">IF(F24="One-time",IF(N24&lt;=Horizon,J24,0),P24*MAX(0,MIN(Horizon,IF(O24="",Horizon,N24+O24-1))-N24+1))</f>
        <v>270000</v>
      </c>
      <c r="R24" s="3" t="s">
        <v>252</v>
      </c>
      <c r="S24" s="8" t="s">
        <v>41</v>
      </c>
    </row>
    <row r="25" customFormat="false" ht="15" hidden="false" customHeight="false" outlineLevel="0" collapsed="false">
      <c r="A25" s="8" t="s">
        <v>253</v>
      </c>
      <c r="B25" s="3" t="s">
        <v>254</v>
      </c>
      <c r="C25" s="8" t="s">
        <v>92</v>
      </c>
      <c r="D25" s="19" t="s">
        <v>250</v>
      </c>
      <c r="E25" s="19" t="s">
        <v>255</v>
      </c>
      <c r="F25" s="19" t="s">
        <v>179</v>
      </c>
      <c r="G25" s="20" t="n">
        <f aca="false">RecruitFeePct*SUM(Headcount!$F$6:$F$10)</f>
        <v>150000</v>
      </c>
      <c r="H25" s="20" t="n">
        <f aca="false">RecruitFeePct*SUM(Headcount!$F$6:$F$10)</f>
        <v>150000</v>
      </c>
      <c r="I25" s="20" t="n">
        <f aca="false">RecruitFeePct*SUM(Headcount!$F$6:$F$10)</f>
        <v>150000</v>
      </c>
      <c r="J25" s="17" t="n">
        <f aca="false">CHOOSE(Scenario,G25,H25,I25)</f>
        <v>150000</v>
      </c>
      <c r="K25" s="14" t="n">
        <v>2</v>
      </c>
      <c r="L25" s="14" t="n">
        <v>1</v>
      </c>
      <c r="M25" s="14" t="n">
        <v>1</v>
      </c>
      <c r="N25" s="11" t="n">
        <f aca="false">CHOOSE(Scenario,K25,L25,M25)</f>
        <v>1</v>
      </c>
      <c r="O25" s="14"/>
      <c r="P25" s="17" t="n">
        <f aca="false">IF(F25="Monthly",J25,IF(F25="Annual",J25/12,0))</f>
        <v>0</v>
      </c>
      <c r="Q25" s="17" t="n">
        <f aca="false">IF(F25="One-time",IF(N25&lt;=Horizon,J25,0),P25*MAX(0,MIN(Horizon,IF(O25="",Horizon,N25+O25-1))-N25+1))</f>
        <v>150000</v>
      </c>
      <c r="R25" s="3" t="s">
        <v>256</v>
      </c>
      <c r="S25" s="8" t="s">
        <v>62</v>
      </c>
    </row>
    <row r="26" customFormat="false" ht="15" hidden="false" customHeight="false" outlineLevel="0" collapsed="false">
      <c r="A26" s="8" t="s">
        <v>257</v>
      </c>
      <c r="B26" s="3" t="s">
        <v>258</v>
      </c>
      <c r="C26" s="8" t="s">
        <v>92</v>
      </c>
      <c r="D26" s="19" t="s">
        <v>250</v>
      </c>
      <c r="E26" s="19" t="s">
        <v>255</v>
      </c>
      <c r="F26" s="19" t="s">
        <v>179</v>
      </c>
      <c r="G26" s="13" t="n">
        <v>30000</v>
      </c>
      <c r="H26" s="13" t="n">
        <v>50000</v>
      </c>
      <c r="I26" s="13" t="n">
        <v>80000</v>
      </c>
      <c r="J26" s="17" t="n">
        <f aca="false">CHOOSE(Scenario,G26,H26,I26)</f>
        <v>50000</v>
      </c>
      <c r="K26" s="14" t="n">
        <v>2</v>
      </c>
      <c r="L26" s="14" t="n">
        <v>1</v>
      </c>
      <c r="M26" s="14" t="n">
        <v>1</v>
      </c>
      <c r="N26" s="11" t="n">
        <f aca="false">CHOOSE(Scenario,K26,L26,M26)</f>
        <v>1</v>
      </c>
      <c r="O26" s="14"/>
      <c r="P26" s="17" t="n">
        <f aca="false">IF(F26="Monthly",J26,IF(F26="Annual",J26/12,0))</f>
        <v>0</v>
      </c>
      <c r="Q26" s="17" t="n">
        <f aca="false">IF(F26="One-time",IF(N26&lt;=Horizon,J26,0),P26*MAX(0,MIN(Horizon,IF(O26="",Horizon,N26+O26-1))-N26+1))</f>
        <v>50000</v>
      </c>
      <c r="R26" s="3"/>
      <c r="S26" s="8" t="s">
        <v>41</v>
      </c>
    </row>
    <row r="27" customFormat="false" ht="15" hidden="false" customHeight="false" outlineLevel="0" collapsed="false">
      <c r="A27" s="8" t="s">
        <v>259</v>
      </c>
      <c r="B27" s="3" t="s">
        <v>260</v>
      </c>
      <c r="C27" s="8" t="s">
        <v>92</v>
      </c>
      <c r="D27" s="19" t="s">
        <v>250</v>
      </c>
      <c r="E27" s="19" t="s">
        <v>261</v>
      </c>
      <c r="F27" s="19" t="s">
        <v>174</v>
      </c>
      <c r="G27" s="13" t="n">
        <v>4000</v>
      </c>
      <c r="H27" s="13" t="n">
        <v>8000</v>
      </c>
      <c r="I27" s="13" t="n">
        <v>12000</v>
      </c>
      <c r="J27" s="17" t="n">
        <f aca="false">CHOOSE(Scenario,G27,H27,I27)</f>
        <v>8000</v>
      </c>
      <c r="K27" s="14" t="n">
        <v>1</v>
      </c>
      <c r="L27" s="14" t="n">
        <v>1</v>
      </c>
      <c r="M27" s="14" t="n">
        <v>1</v>
      </c>
      <c r="N27" s="11" t="n">
        <f aca="false">CHOOSE(Scenario,K27,L27,M27)</f>
        <v>1</v>
      </c>
      <c r="O27" s="14"/>
      <c r="P27" s="17" t="n">
        <f aca="false">IF(F27="Monthly",J27,IF(F27="Annual",J27/12,0))</f>
        <v>8000</v>
      </c>
      <c r="Q27" s="17" t="n">
        <f aca="false">IF(F27="One-time",IF(N27&lt;=Horizon,J27,0),P27*MAX(0,MIN(Horizon,IF(O27="",Horizon,N27+O27-1))-N27+1))</f>
        <v>288000</v>
      </c>
      <c r="R27" s="3"/>
      <c r="S27" s="8" t="s">
        <v>41</v>
      </c>
    </row>
    <row r="28" customFormat="false" ht="15" hidden="false" customHeight="false" outlineLevel="0" collapsed="false">
      <c r="A28" s="8" t="s">
        <v>262</v>
      </c>
      <c r="B28" s="3" t="s">
        <v>263</v>
      </c>
      <c r="C28" s="8" t="s">
        <v>92</v>
      </c>
      <c r="D28" s="19" t="s">
        <v>213</v>
      </c>
      <c r="E28" s="19" t="s">
        <v>264</v>
      </c>
      <c r="F28" s="19" t="s">
        <v>174</v>
      </c>
      <c r="G28" s="13" t="n">
        <v>1500</v>
      </c>
      <c r="H28" s="13" t="n">
        <v>3000</v>
      </c>
      <c r="I28" s="13" t="n">
        <v>5000</v>
      </c>
      <c r="J28" s="17" t="n">
        <f aca="false">CHOOSE(Scenario,G28,H28,I28)</f>
        <v>3000</v>
      </c>
      <c r="K28" s="14" t="n">
        <v>3</v>
      </c>
      <c r="L28" s="14" t="n">
        <v>2</v>
      </c>
      <c r="M28" s="14" t="n">
        <v>1</v>
      </c>
      <c r="N28" s="11" t="n">
        <f aca="false">CHOOSE(Scenario,K28,L28,M28)</f>
        <v>2</v>
      </c>
      <c r="O28" s="14"/>
      <c r="P28" s="17" t="n">
        <f aca="false">IF(F28="Monthly",J28,IF(F28="Annual",J28/12,0))</f>
        <v>3000</v>
      </c>
      <c r="Q28" s="17" t="n">
        <f aca="false">IF(F28="One-time",IF(N28&lt;=Horizon,J28,0),P28*MAX(0,MIN(Horizon,IF(O28="",Horizon,N28+O28-1))-N28+1))</f>
        <v>105000</v>
      </c>
      <c r="R28" s="3"/>
      <c r="S28" s="8" t="s">
        <v>41</v>
      </c>
    </row>
    <row r="29" customFormat="false" ht="15" hidden="false" customHeight="false" outlineLevel="0" collapsed="false">
      <c r="A29" s="8" t="s">
        <v>265</v>
      </c>
      <c r="B29" s="3" t="s">
        <v>266</v>
      </c>
      <c r="C29" s="8" t="s">
        <v>92</v>
      </c>
      <c r="D29" s="19" t="s">
        <v>250</v>
      </c>
      <c r="E29" s="19" t="s">
        <v>267</v>
      </c>
      <c r="F29" s="19" t="s">
        <v>179</v>
      </c>
      <c r="G29" s="13" t="n">
        <v>40000</v>
      </c>
      <c r="H29" s="13" t="n">
        <v>70000</v>
      </c>
      <c r="I29" s="13" t="n">
        <v>120000</v>
      </c>
      <c r="J29" s="17" t="n">
        <f aca="false">CHOOSE(Scenario,G29,H29,I29)</f>
        <v>70000</v>
      </c>
      <c r="K29" s="14" t="n">
        <v>3</v>
      </c>
      <c r="L29" s="14" t="n">
        <v>2</v>
      </c>
      <c r="M29" s="14" t="n">
        <v>1</v>
      </c>
      <c r="N29" s="11" t="n">
        <f aca="false">CHOOSE(Scenario,K29,L29,M29)</f>
        <v>2</v>
      </c>
      <c r="O29" s="14"/>
      <c r="P29" s="17" t="n">
        <f aca="false">IF(F29="Monthly",J29,IF(F29="Annual",J29/12,0))</f>
        <v>0</v>
      </c>
      <c r="Q29" s="17" t="n">
        <f aca="false">IF(F29="One-time",IF(N29&lt;=Horizon,J29,0),P29*MAX(0,MIN(Horizon,IF(O29="",Horizon,N29+O29-1))-N29+1))</f>
        <v>70000</v>
      </c>
      <c r="R29" s="3"/>
      <c r="S29" s="8" t="s">
        <v>41</v>
      </c>
    </row>
    <row r="30" customFormat="false" ht="23.85" hidden="false" customHeight="false" outlineLevel="0" collapsed="false">
      <c r="A30" s="8" t="s">
        <v>268</v>
      </c>
      <c r="B30" s="3" t="s">
        <v>269</v>
      </c>
      <c r="C30" s="8" t="s">
        <v>92</v>
      </c>
      <c r="D30" s="19" t="s">
        <v>270</v>
      </c>
      <c r="E30" s="19" t="s">
        <v>271</v>
      </c>
      <c r="F30" s="19" t="s">
        <v>174</v>
      </c>
      <c r="G30" s="13" t="n">
        <v>0</v>
      </c>
      <c r="H30" s="13" t="n">
        <v>0</v>
      </c>
      <c r="I30" s="13" t="n">
        <v>0</v>
      </c>
      <c r="J30" s="17" t="n">
        <f aca="false">CHOOSE(Scenario,G30,H30,I30)</f>
        <v>0</v>
      </c>
      <c r="K30" s="14" t="n">
        <v>1</v>
      </c>
      <c r="L30" s="14" t="n">
        <v>1</v>
      </c>
      <c r="M30" s="14" t="n">
        <v>1</v>
      </c>
      <c r="N30" s="11" t="n">
        <f aca="false">CHOOSE(Scenario,K30,L30,M30)</f>
        <v>1</v>
      </c>
      <c r="O30" s="14"/>
      <c r="P30" s="17" t="n">
        <f aca="false">IF(F30="Monthly",J30,IF(F30="Annual",J30/12,0))</f>
        <v>0</v>
      </c>
      <c r="Q30" s="17" t="n">
        <f aca="false">IF(F30="One-time",IF(N30&lt;=Horizon,J30,0),P30*MAX(0,MIN(Horizon,IF(O30="",Horizon,N30+O30-1))-N30+1))</f>
        <v>0</v>
      </c>
      <c r="R30" s="3" t="s">
        <v>272</v>
      </c>
      <c r="S30" s="8" t="s">
        <v>273</v>
      </c>
    </row>
    <row r="31" customFormat="false" ht="15" hidden="false" customHeight="false" outlineLevel="0" collapsed="false">
      <c r="B31" s="21" t="s">
        <v>274</v>
      </c>
      <c r="Q31" s="22" t="n">
        <f aca="false">SUM(Q4:Q30)</f>
        <v>6620833.33333333</v>
      </c>
    </row>
  </sheetData>
  <dataValidations count="2">
    <dataValidation allowBlank="false" errorStyle="stop" operator="between" showDropDown="false" showErrorMessage="false" showInputMessage="false" sqref="F4:F30" type="list">
      <formula1>"Monthly,One-time,Annual"</formula1>
      <formula2>0</formula2>
    </dataValidation>
    <dataValidation allowBlank="false" errorStyle="stop" operator="between" showDropDown="false" showErrorMessage="false" showInputMessage="false" sqref="D4:D30" type="list">
      <formula1>"Payroll,Consulting,Facilities,Equipment,Operations,Research,Legal,Finance,G&amp;A,Intercompany"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41" min="6" style="0" width="11"/>
  </cols>
  <sheetData>
    <row r="1" customFormat="false" ht="17.35" hidden="false" customHeight="false" outlineLevel="0" collapsed="false">
      <c r="A1" s="5" t="s">
        <v>275</v>
      </c>
    </row>
    <row r="2" customFormat="false" ht="15" hidden="false" customHeight="false" outlineLevel="0" collapsed="false">
      <c r="A2" s="23" t="s">
        <v>276</v>
      </c>
      <c r="B2" s="24" t="str">
        <f aca="false">ScenarioName</f>
        <v>Base</v>
      </c>
      <c r="D2" s="6" t="s">
        <v>277</v>
      </c>
    </row>
    <row r="4" customFormat="false" ht="15" hidden="false" customHeight="false" outlineLevel="0" collapsed="false">
      <c r="A4" s="7" t="s">
        <v>278</v>
      </c>
      <c r="B4" s="7" t="s">
        <v>76</v>
      </c>
      <c r="C4" s="7" t="s">
        <v>161</v>
      </c>
      <c r="D4" s="7" t="s">
        <v>162</v>
      </c>
      <c r="E4" s="7" t="s">
        <v>87</v>
      </c>
      <c r="F4" s="25" t="n">
        <v>1</v>
      </c>
      <c r="G4" s="25" t="n">
        <v>2</v>
      </c>
      <c r="H4" s="25" t="n">
        <v>3</v>
      </c>
      <c r="I4" s="25" t="n">
        <v>4</v>
      </c>
      <c r="J4" s="25" t="n">
        <v>5</v>
      </c>
      <c r="K4" s="25" t="n">
        <v>6</v>
      </c>
      <c r="L4" s="25" t="n">
        <v>7</v>
      </c>
      <c r="M4" s="25" t="n">
        <v>8</v>
      </c>
      <c r="N4" s="25" t="n">
        <v>9</v>
      </c>
      <c r="O4" s="25" t="n">
        <v>10</v>
      </c>
      <c r="P4" s="25" t="n">
        <v>11</v>
      </c>
      <c r="Q4" s="25" t="n">
        <v>12</v>
      </c>
      <c r="R4" s="25" t="n">
        <v>13</v>
      </c>
      <c r="S4" s="25" t="n">
        <v>14</v>
      </c>
      <c r="T4" s="25" t="n">
        <v>15</v>
      </c>
      <c r="U4" s="25" t="n">
        <v>16</v>
      </c>
      <c r="V4" s="25" t="n">
        <v>17</v>
      </c>
      <c r="W4" s="25" t="n">
        <v>18</v>
      </c>
      <c r="X4" s="25" t="n">
        <v>19</v>
      </c>
      <c r="Y4" s="25" t="n">
        <v>20</v>
      </c>
      <c r="Z4" s="25" t="n">
        <v>21</v>
      </c>
      <c r="AA4" s="25" t="n">
        <v>22</v>
      </c>
      <c r="AB4" s="25" t="n">
        <v>23</v>
      </c>
      <c r="AC4" s="25" t="n">
        <v>24</v>
      </c>
      <c r="AD4" s="25" t="n">
        <v>25</v>
      </c>
      <c r="AE4" s="25" t="n">
        <v>26</v>
      </c>
      <c r="AF4" s="25" t="n">
        <v>27</v>
      </c>
      <c r="AG4" s="25" t="n">
        <v>28</v>
      </c>
      <c r="AH4" s="25" t="n">
        <v>29</v>
      </c>
      <c r="AI4" s="25" t="n">
        <v>30</v>
      </c>
      <c r="AJ4" s="25" t="n">
        <v>31</v>
      </c>
      <c r="AK4" s="25" t="n">
        <v>32</v>
      </c>
      <c r="AL4" s="25" t="n">
        <v>33</v>
      </c>
      <c r="AM4" s="25" t="n">
        <v>34</v>
      </c>
      <c r="AN4" s="25" t="n">
        <v>35</v>
      </c>
      <c r="AO4" s="25" t="n">
        <v>36</v>
      </c>
    </row>
    <row r="5" customFormat="false" ht="15" hidden="false" customHeight="false" outlineLevel="0" collapsed="false">
      <c r="E5" s="23" t="s">
        <v>279</v>
      </c>
      <c r="F5" s="26" t="n">
        <f aca="false">EDATE(StartDate,F$4-1)</f>
        <v>46388</v>
      </c>
      <c r="G5" s="26" t="n">
        <f aca="false">EDATE(StartDate,G$4-1)</f>
        <v>46419</v>
      </c>
      <c r="H5" s="26" t="n">
        <f aca="false">EDATE(StartDate,H$4-1)</f>
        <v>46447</v>
      </c>
      <c r="I5" s="26" t="n">
        <f aca="false">EDATE(StartDate,I$4-1)</f>
        <v>46478</v>
      </c>
      <c r="J5" s="26" t="n">
        <f aca="false">EDATE(StartDate,J$4-1)</f>
        <v>46508</v>
      </c>
      <c r="K5" s="26" t="n">
        <f aca="false">EDATE(StartDate,K$4-1)</f>
        <v>46539</v>
      </c>
      <c r="L5" s="26" t="n">
        <f aca="false">EDATE(StartDate,L$4-1)</f>
        <v>46569</v>
      </c>
      <c r="M5" s="26" t="n">
        <f aca="false">EDATE(StartDate,M$4-1)</f>
        <v>46600</v>
      </c>
      <c r="N5" s="26" t="n">
        <f aca="false">EDATE(StartDate,N$4-1)</f>
        <v>46631</v>
      </c>
      <c r="O5" s="26" t="n">
        <f aca="false">EDATE(StartDate,O$4-1)</f>
        <v>46661</v>
      </c>
      <c r="P5" s="26" t="n">
        <f aca="false">EDATE(StartDate,P$4-1)</f>
        <v>46692</v>
      </c>
      <c r="Q5" s="26" t="n">
        <f aca="false">EDATE(StartDate,Q$4-1)</f>
        <v>46722</v>
      </c>
      <c r="R5" s="26" t="n">
        <f aca="false">EDATE(StartDate,R$4-1)</f>
        <v>46753</v>
      </c>
      <c r="S5" s="26" t="n">
        <f aca="false">EDATE(StartDate,S$4-1)</f>
        <v>46784</v>
      </c>
      <c r="T5" s="26" t="n">
        <f aca="false">EDATE(StartDate,T$4-1)</f>
        <v>46813</v>
      </c>
      <c r="U5" s="26" t="n">
        <f aca="false">EDATE(StartDate,U$4-1)</f>
        <v>46844</v>
      </c>
      <c r="V5" s="26" t="n">
        <f aca="false">EDATE(StartDate,V$4-1)</f>
        <v>46874</v>
      </c>
      <c r="W5" s="26" t="n">
        <f aca="false">EDATE(StartDate,W$4-1)</f>
        <v>46905</v>
      </c>
      <c r="X5" s="26" t="n">
        <f aca="false">EDATE(StartDate,X$4-1)</f>
        <v>46935</v>
      </c>
      <c r="Y5" s="26" t="n">
        <f aca="false">EDATE(StartDate,Y$4-1)</f>
        <v>46966</v>
      </c>
      <c r="Z5" s="26" t="n">
        <f aca="false">EDATE(StartDate,Z$4-1)</f>
        <v>46997</v>
      </c>
      <c r="AA5" s="26" t="n">
        <f aca="false">EDATE(StartDate,AA$4-1)</f>
        <v>47027</v>
      </c>
      <c r="AB5" s="26" t="n">
        <f aca="false">EDATE(StartDate,AB$4-1)</f>
        <v>47058</v>
      </c>
      <c r="AC5" s="26" t="n">
        <f aca="false">EDATE(StartDate,AC$4-1)</f>
        <v>47088</v>
      </c>
      <c r="AD5" s="26" t="n">
        <f aca="false">EDATE(StartDate,AD$4-1)</f>
        <v>47119</v>
      </c>
      <c r="AE5" s="26" t="n">
        <f aca="false">EDATE(StartDate,AE$4-1)</f>
        <v>47150</v>
      </c>
      <c r="AF5" s="26" t="n">
        <f aca="false">EDATE(StartDate,AF$4-1)</f>
        <v>47178</v>
      </c>
      <c r="AG5" s="26" t="n">
        <f aca="false">EDATE(StartDate,AG$4-1)</f>
        <v>47209</v>
      </c>
      <c r="AH5" s="26" t="n">
        <f aca="false">EDATE(StartDate,AH$4-1)</f>
        <v>47239</v>
      </c>
      <c r="AI5" s="26" t="n">
        <f aca="false">EDATE(StartDate,AI$4-1)</f>
        <v>47270</v>
      </c>
      <c r="AJ5" s="26" t="n">
        <f aca="false">EDATE(StartDate,AJ$4-1)</f>
        <v>47300</v>
      </c>
      <c r="AK5" s="26" t="n">
        <f aca="false">EDATE(StartDate,AK$4-1)</f>
        <v>47331</v>
      </c>
      <c r="AL5" s="26" t="n">
        <f aca="false">EDATE(StartDate,AL$4-1)</f>
        <v>47362</v>
      </c>
      <c r="AM5" s="26" t="n">
        <f aca="false">EDATE(StartDate,AM$4-1)</f>
        <v>47392</v>
      </c>
      <c r="AN5" s="26" t="n">
        <f aca="false">EDATE(StartDate,AN$4-1)</f>
        <v>47423</v>
      </c>
      <c r="AO5" s="26" t="n">
        <f aca="false">EDATE(StartDate,AO$4-1)</f>
        <v>47453</v>
      </c>
    </row>
    <row r="6" customFormat="false" ht="15" hidden="false" customHeight="false" outlineLevel="0" collapsed="false">
      <c r="E6" s="23" t="s">
        <v>280</v>
      </c>
      <c r="F6" s="27" t="str">
        <f aca="false">IF(F$4=Gate1,"G1",IF(F$4=Gate2,"G2",IF(F$4=Gate3,"G3","")))</f>
        <v/>
      </c>
      <c r="G6" s="27" t="str">
        <f aca="false">IF(G$4=Gate1,"G1",IF(G$4=Gate2,"G2",IF(G$4=Gate3,"G3","")))</f>
        <v/>
      </c>
      <c r="H6" s="27" t="str">
        <f aca="false">IF(H$4=Gate1,"G1",IF(H$4=Gate2,"G2",IF(H$4=Gate3,"G3","")))</f>
        <v/>
      </c>
      <c r="I6" s="27" t="str">
        <f aca="false">IF(I$4=Gate1,"G1",IF(I$4=Gate2,"G2",IF(I$4=Gate3,"G3","")))</f>
        <v/>
      </c>
      <c r="J6" s="27" t="str">
        <f aca="false">IF(J$4=Gate1,"G1",IF(J$4=Gate2,"G2",IF(J$4=Gate3,"G3","")))</f>
        <v/>
      </c>
      <c r="K6" s="27" t="str">
        <f aca="false">IF(K$4=Gate1,"G1",IF(K$4=Gate2,"G2",IF(K$4=Gate3,"G3","")))</f>
        <v/>
      </c>
      <c r="L6" s="27" t="str">
        <f aca="false">IF(L$4=Gate1,"G1",IF(L$4=Gate2,"G2",IF(L$4=Gate3,"G3","")))</f>
        <v/>
      </c>
      <c r="M6" s="27" t="str">
        <f aca="false">IF(M$4=Gate1,"G1",IF(M$4=Gate2,"G2",IF(M$4=Gate3,"G3","")))</f>
        <v/>
      </c>
      <c r="N6" s="27" t="str">
        <f aca="false">IF(N$4=Gate1,"G1",IF(N$4=Gate2,"G2",IF(N$4=Gate3,"G3","")))</f>
        <v>G1</v>
      </c>
      <c r="O6" s="27" t="str">
        <f aca="false">IF(O$4=Gate1,"G1",IF(O$4=Gate2,"G2",IF(O$4=Gate3,"G3","")))</f>
        <v/>
      </c>
      <c r="P6" s="27" t="str">
        <f aca="false">IF(P$4=Gate1,"G1",IF(P$4=Gate2,"G2",IF(P$4=Gate3,"G3","")))</f>
        <v/>
      </c>
      <c r="Q6" s="27" t="str">
        <f aca="false">IF(Q$4=Gate1,"G1",IF(Q$4=Gate2,"G2",IF(Q$4=Gate3,"G3","")))</f>
        <v/>
      </c>
      <c r="R6" s="27" t="str">
        <f aca="false">IF(R$4=Gate1,"G1",IF(R$4=Gate2,"G2",IF(R$4=Gate3,"G3","")))</f>
        <v/>
      </c>
      <c r="S6" s="27" t="str">
        <f aca="false">IF(S$4=Gate1,"G1",IF(S$4=Gate2,"G2",IF(S$4=Gate3,"G3","")))</f>
        <v/>
      </c>
      <c r="T6" s="27" t="str">
        <f aca="false">IF(T$4=Gate1,"G1",IF(T$4=Gate2,"G2",IF(T$4=Gate3,"G3","")))</f>
        <v/>
      </c>
      <c r="U6" s="27" t="str">
        <f aca="false">IF(U$4=Gate1,"G1",IF(U$4=Gate2,"G2",IF(U$4=Gate3,"G3","")))</f>
        <v/>
      </c>
      <c r="V6" s="27" t="str">
        <f aca="false">IF(V$4=Gate1,"G1",IF(V$4=Gate2,"G2",IF(V$4=Gate3,"G3","")))</f>
        <v/>
      </c>
      <c r="W6" s="27" t="str">
        <f aca="false">IF(W$4=Gate1,"G1",IF(W$4=Gate2,"G2",IF(W$4=Gate3,"G3","")))</f>
        <v/>
      </c>
      <c r="X6" s="27" t="str">
        <f aca="false">IF(X$4=Gate1,"G1",IF(X$4=Gate2,"G2",IF(X$4=Gate3,"G3","")))</f>
        <v/>
      </c>
      <c r="Y6" s="27" t="str">
        <f aca="false">IF(Y$4=Gate1,"G1",IF(Y$4=Gate2,"G2",IF(Y$4=Gate3,"G3","")))</f>
        <v/>
      </c>
      <c r="Z6" s="27" t="str">
        <f aca="false">IF(Z$4=Gate1,"G1",IF(Z$4=Gate2,"G2",IF(Z$4=Gate3,"G3","")))</f>
        <v>G2</v>
      </c>
      <c r="AA6" s="27" t="str">
        <f aca="false">IF(AA$4=Gate1,"G1",IF(AA$4=Gate2,"G2",IF(AA$4=Gate3,"G3","")))</f>
        <v/>
      </c>
      <c r="AB6" s="27" t="str">
        <f aca="false">IF(AB$4=Gate1,"G1",IF(AB$4=Gate2,"G2",IF(AB$4=Gate3,"G3","")))</f>
        <v/>
      </c>
      <c r="AC6" s="27" t="str">
        <f aca="false">IF(AC$4=Gate1,"G1",IF(AC$4=Gate2,"G2",IF(AC$4=Gate3,"G3","")))</f>
        <v/>
      </c>
      <c r="AD6" s="27" t="str">
        <f aca="false">IF(AD$4=Gate1,"G1",IF(AD$4=Gate2,"G2",IF(AD$4=Gate3,"G3","")))</f>
        <v/>
      </c>
      <c r="AE6" s="27" t="str">
        <f aca="false">IF(AE$4=Gate1,"G1",IF(AE$4=Gate2,"G2",IF(AE$4=Gate3,"G3","")))</f>
        <v/>
      </c>
      <c r="AF6" s="27" t="str">
        <f aca="false">IF(AF$4=Gate1,"G1",IF(AF$4=Gate2,"G2",IF(AF$4=Gate3,"G3","")))</f>
        <v/>
      </c>
      <c r="AG6" s="27" t="str">
        <f aca="false">IF(AG$4=Gate1,"G1",IF(AG$4=Gate2,"G2",IF(AG$4=Gate3,"G3","")))</f>
        <v/>
      </c>
      <c r="AH6" s="27" t="str">
        <f aca="false">IF(AH$4=Gate1,"G1",IF(AH$4=Gate2,"G2",IF(AH$4=Gate3,"G3","")))</f>
        <v/>
      </c>
      <c r="AI6" s="27" t="str">
        <f aca="false">IF(AI$4=Gate1,"G1",IF(AI$4=Gate2,"G2",IF(AI$4=Gate3,"G3","")))</f>
        <v/>
      </c>
      <c r="AJ6" s="27" t="str">
        <f aca="false">IF(AJ$4=Gate1,"G1",IF(AJ$4=Gate2,"G2",IF(AJ$4=Gate3,"G3","")))</f>
        <v/>
      </c>
      <c r="AK6" s="27" t="str">
        <f aca="false">IF(AK$4=Gate1,"G1",IF(AK$4=Gate2,"G2",IF(AK$4=Gate3,"G3","")))</f>
        <v/>
      </c>
      <c r="AL6" s="27" t="str">
        <f aca="false">IF(AL$4=Gate1,"G1",IF(AL$4=Gate2,"G2",IF(AL$4=Gate3,"G3","")))</f>
        <v/>
      </c>
      <c r="AM6" s="27" t="str">
        <f aca="false">IF(AM$4=Gate1,"G1",IF(AM$4=Gate2,"G2",IF(AM$4=Gate3,"G3","")))</f>
        <v/>
      </c>
      <c r="AN6" s="27" t="str">
        <f aca="false">IF(AN$4=Gate1,"G1",IF(AN$4=Gate2,"G2",IF(AN$4=Gate3,"G3","")))</f>
        <v/>
      </c>
      <c r="AO6" s="27" t="str">
        <f aca="false">IF(AO$4=Gate1,"G1",IF(AO$4=Gate2,"G2",IF(AO$4=Gate3,"G3","")))</f>
        <v>G3</v>
      </c>
    </row>
    <row r="7" customFormat="false" ht="15" hidden="false" customHeight="false" outlineLevel="0" collapsed="false">
      <c r="A7" s="28" t="s">
        <v>281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customFormat="false" ht="15" hidden="false" customHeight="false" outlineLevel="0" collapsed="false">
      <c r="A8" s="24" t="str">
        <f aca="false">Headcount!B4</f>
        <v>Founder &amp; CEO</v>
      </c>
      <c r="B8" s="24" t="str">
        <f aca="false">Headcount!D4</f>
        <v>EnergyWave, Inc.</v>
      </c>
      <c r="C8" s="24" t="str">
        <f aca="false">IF(Headcount!E4="W-2","Payroll","Consulting")</f>
        <v>Payroll</v>
      </c>
      <c r="D8" s="24" t="str">
        <f aca="false">IF(Headcount!E4="W-2","Salary &amp; load","Consulting fee")</f>
        <v>Salary &amp; load</v>
      </c>
      <c r="E8" s="30" t="n">
        <f aca="false">SUM(F8:AO8)</f>
        <v>878400</v>
      </c>
      <c r="F8" s="17" t="n">
        <f aca="false">IF(F$4&gt;=Headcount!$M4,Headcount!$N4,0)</f>
        <v>24400</v>
      </c>
      <c r="G8" s="17" t="n">
        <f aca="false">IF(G$4&gt;=Headcount!$M4,Headcount!$N4,0)</f>
        <v>24400</v>
      </c>
      <c r="H8" s="17" t="n">
        <f aca="false">IF(H$4&gt;=Headcount!$M4,Headcount!$N4,0)</f>
        <v>24400</v>
      </c>
      <c r="I8" s="17" t="n">
        <f aca="false">IF(I$4&gt;=Headcount!$M4,Headcount!$N4,0)</f>
        <v>24400</v>
      </c>
      <c r="J8" s="17" t="n">
        <f aca="false">IF(J$4&gt;=Headcount!$M4,Headcount!$N4,0)</f>
        <v>24400</v>
      </c>
      <c r="K8" s="17" t="n">
        <f aca="false">IF(K$4&gt;=Headcount!$M4,Headcount!$N4,0)</f>
        <v>24400</v>
      </c>
      <c r="L8" s="17" t="n">
        <f aca="false">IF(L$4&gt;=Headcount!$M4,Headcount!$N4,0)</f>
        <v>24400</v>
      </c>
      <c r="M8" s="17" t="n">
        <f aca="false">IF(M$4&gt;=Headcount!$M4,Headcount!$N4,0)</f>
        <v>24400</v>
      </c>
      <c r="N8" s="17" t="n">
        <f aca="false">IF(N$4&gt;=Headcount!$M4,Headcount!$N4,0)</f>
        <v>24400</v>
      </c>
      <c r="O8" s="17" t="n">
        <f aca="false">IF(O$4&gt;=Headcount!$M4,Headcount!$N4,0)</f>
        <v>24400</v>
      </c>
      <c r="P8" s="17" t="n">
        <f aca="false">IF(P$4&gt;=Headcount!$M4,Headcount!$N4,0)</f>
        <v>24400</v>
      </c>
      <c r="Q8" s="17" t="n">
        <f aca="false">IF(Q$4&gt;=Headcount!$M4,Headcount!$N4,0)</f>
        <v>24400</v>
      </c>
      <c r="R8" s="17" t="n">
        <f aca="false">IF(R$4&gt;=Headcount!$M4,Headcount!$N4,0)</f>
        <v>24400</v>
      </c>
      <c r="S8" s="17" t="n">
        <f aca="false">IF(S$4&gt;=Headcount!$M4,Headcount!$N4,0)</f>
        <v>24400</v>
      </c>
      <c r="T8" s="17" t="n">
        <f aca="false">IF(T$4&gt;=Headcount!$M4,Headcount!$N4,0)</f>
        <v>24400</v>
      </c>
      <c r="U8" s="17" t="n">
        <f aca="false">IF(U$4&gt;=Headcount!$M4,Headcount!$N4,0)</f>
        <v>24400</v>
      </c>
      <c r="V8" s="17" t="n">
        <f aca="false">IF(V$4&gt;=Headcount!$M4,Headcount!$N4,0)</f>
        <v>24400</v>
      </c>
      <c r="W8" s="17" t="n">
        <f aca="false">IF(W$4&gt;=Headcount!$M4,Headcount!$N4,0)</f>
        <v>24400</v>
      </c>
      <c r="X8" s="17" t="n">
        <f aca="false">IF(X$4&gt;=Headcount!$M4,Headcount!$N4,0)</f>
        <v>24400</v>
      </c>
      <c r="Y8" s="17" t="n">
        <f aca="false">IF(Y$4&gt;=Headcount!$M4,Headcount!$N4,0)</f>
        <v>24400</v>
      </c>
      <c r="Z8" s="17" t="n">
        <f aca="false">IF(Z$4&gt;=Headcount!$M4,Headcount!$N4,0)</f>
        <v>24400</v>
      </c>
      <c r="AA8" s="17" t="n">
        <f aca="false">IF(AA$4&gt;=Headcount!$M4,Headcount!$N4,0)</f>
        <v>24400</v>
      </c>
      <c r="AB8" s="17" t="n">
        <f aca="false">IF(AB$4&gt;=Headcount!$M4,Headcount!$N4,0)</f>
        <v>24400</v>
      </c>
      <c r="AC8" s="17" t="n">
        <f aca="false">IF(AC$4&gt;=Headcount!$M4,Headcount!$N4,0)</f>
        <v>24400</v>
      </c>
      <c r="AD8" s="17" t="n">
        <f aca="false">IF(AD$4&gt;=Headcount!$M4,Headcount!$N4,0)</f>
        <v>24400</v>
      </c>
      <c r="AE8" s="17" t="n">
        <f aca="false">IF(AE$4&gt;=Headcount!$M4,Headcount!$N4,0)</f>
        <v>24400</v>
      </c>
      <c r="AF8" s="17" t="n">
        <f aca="false">IF(AF$4&gt;=Headcount!$M4,Headcount!$N4,0)</f>
        <v>24400</v>
      </c>
      <c r="AG8" s="17" t="n">
        <f aca="false">IF(AG$4&gt;=Headcount!$M4,Headcount!$N4,0)</f>
        <v>24400</v>
      </c>
      <c r="AH8" s="17" t="n">
        <f aca="false">IF(AH$4&gt;=Headcount!$M4,Headcount!$N4,0)</f>
        <v>24400</v>
      </c>
      <c r="AI8" s="17" t="n">
        <f aca="false">IF(AI$4&gt;=Headcount!$M4,Headcount!$N4,0)</f>
        <v>24400</v>
      </c>
      <c r="AJ8" s="17" t="n">
        <f aca="false">IF(AJ$4&gt;=Headcount!$M4,Headcount!$N4,0)</f>
        <v>24400</v>
      </c>
      <c r="AK8" s="17" t="n">
        <f aca="false">IF(AK$4&gt;=Headcount!$M4,Headcount!$N4,0)</f>
        <v>24400</v>
      </c>
      <c r="AL8" s="17" t="n">
        <f aca="false">IF(AL$4&gt;=Headcount!$M4,Headcount!$N4,0)</f>
        <v>24400</v>
      </c>
      <c r="AM8" s="17" t="n">
        <f aca="false">IF(AM$4&gt;=Headcount!$M4,Headcount!$N4,0)</f>
        <v>24400</v>
      </c>
      <c r="AN8" s="17" t="n">
        <f aca="false">IF(AN$4&gt;=Headcount!$M4,Headcount!$N4,0)</f>
        <v>24400</v>
      </c>
      <c r="AO8" s="17" t="n">
        <f aca="false">IF(AO$4&gt;=Headcount!$M4,Headcount!$N4,0)</f>
        <v>24400</v>
      </c>
    </row>
    <row r="9" customFormat="false" ht="15" hidden="false" customHeight="false" outlineLevel="0" collapsed="false">
      <c r="A9" s="24" t="str">
        <f aca="false">Headcount!B5</f>
        <v>Co-founder / Research Director (part-time)</v>
      </c>
      <c r="B9" s="24" t="str">
        <f aca="false">Headcount!D5</f>
        <v>EnergyWave, Inc.</v>
      </c>
      <c r="C9" s="24" t="str">
        <f aca="false">IF(Headcount!E5="W-2","Payroll","Consulting")</f>
        <v>Consulting</v>
      </c>
      <c r="D9" s="24" t="str">
        <f aca="false">IF(Headcount!E5="W-2","Salary &amp; load","Consulting fee")</f>
        <v>Consulting fee</v>
      </c>
      <c r="E9" s="30" t="n">
        <f aca="false">SUM(F9:AO9)</f>
        <v>450000</v>
      </c>
      <c r="F9" s="17" t="n">
        <f aca="false">IF(F$4&gt;=Headcount!$M5,Headcount!$N5,0)</f>
        <v>12500</v>
      </c>
      <c r="G9" s="17" t="n">
        <f aca="false">IF(G$4&gt;=Headcount!$M5,Headcount!$N5,0)</f>
        <v>12500</v>
      </c>
      <c r="H9" s="17" t="n">
        <f aca="false">IF(H$4&gt;=Headcount!$M5,Headcount!$N5,0)</f>
        <v>12500</v>
      </c>
      <c r="I9" s="17" t="n">
        <f aca="false">IF(I$4&gt;=Headcount!$M5,Headcount!$N5,0)</f>
        <v>12500</v>
      </c>
      <c r="J9" s="17" t="n">
        <f aca="false">IF(J$4&gt;=Headcount!$M5,Headcount!$N5,0)</f>
        <v>12500</v>
      </c>
      <c r="K9" s="17" t="n">
        <f aca="false">IF(K$4&gt;=Headcount!$M5,Headcount!$N5,0)</f>
        <v>12500</v>
      </c>
      <c r="L9" s="17" t="n">
        <f aca="false">IF(L$4&gt;=Headcount!$M5,Headcount!$N5,0)</f>
        <v>12500</v>
      </c>
      <c r="M9" s="17" t="n">
        <f aca="false">IF(M$4&gt;=Headcount!$M5,Headcount!$N5,0)</f>
        <v>12500</v>
      </c>
      <c r="N9" s="17" t="n">
        <f aca="false">IF(N$4&gt;=Headcount!$M5,Headcount!$N5,0)</f>
        <v>12500</v>
      </c>
      <c r="O9" s="17" t="n">
        <f aca="false">IF(O$4&gt;=Headcount!$M5,Headcount!$N5,0)</f>
        <v>12500</v>
      </c>
      <c r="P9" s="17" t="n">
        <f aca="false">IF(P$4&gt;=Headcount!$M5,Headcount!$N5,0)</f>
        <v>12500</v>
      </c>
      <c r="Q9" s="17" t="n">
        <f aca="false">IF(Q$4&gt;=Headcount!$M5,Headcount!$N5,0)</f>
        <v>12500</v>
      </c>
      <c r="R9" s="17" t="n">
        <f aca="false">IF(R$4&gt;=Headcount!$M5,Headcount!$N5,0)</f>
        <v>12500</v>
      </c>
      <c r="S9" s="17" t="n">
        <f aca="false">IF(S$4&gt;=Headcount!$M5,Headcount!$N5,0)</f>
        <v>12500</v>
      </c>
      <c r="T9" s="17" t="n">
        <f aca="false">IF(T$4&gt;=Headcount!$M5,Headcount!$N5,0)</f>
        <v>12500</v>
      </c>
      <c r="U9" s="17" t="n">
        <f aca="false">IF(U$4&gt;=Headcount!$M5,Headcount!$N5,0)</f>
        <v>12500</v>
      </c>
      <c r="V9" s="17" t="n">
        <f aca="false">IF(V$4&gt;=Headcount!$M5,Headcount!$N5,0)</f>
        <v>12500</v>
      </c>
      <c r="W9" s="17" t="n">
        <f aca="false">IF(W$4&gt;=Headcount!$M5,Headcount!$N5,0)</f>
        <v>12500</v>
      </c>
      <c r="X9" s="17" t="n">
        <f aca="false">IF(X$4&gt;=Headcount!$M5,Headcount!$N5,0)</f>
        <v>12500</v>
      </c>
      <c r="Y9" s="17" t="n">
        <f aca="false">IF(Y$4&gt;=Headcount!$M5,Headcount!$N5,0)</f>
        <v>12500</v>
      </c>
      <c r="Z9" s="17" t="n">
        <f aca="false">IF(Z$4&gt;=Headcount!$M5,Headcount!$N5,0)</f>
        <v>12500</v>
      </c>
      <c r="AA9" s="17" t="n">
        <f aca="false">IF(AA$4&gt;=Headcount!$M5,Headcount!$N5,0)</f>
        <v>12500</v>
      </c>
      <c r="AB9" s="17" t="n">
        <f aca="false">IF(AB$4&gt;=Headcount!$M5,Headcount!$N5,0)</f>
        <v>12500</v>
      </c>
      <c r="AC9" s="17" t="n">
        <f aca="false">IF(AC$4&gt;=Headcount!$M5,Headcount!$N5,0)</f>
        <v>12500</v>
      </c>
      <c r="AD9" s="17" t="n">
        <f aca="false">IF(AD$4&gt;=Headcount!$M5,Headcount!$N5,0)</f>
        <v>12500</v>
      </c>
      <c r="AE9" s="17" t="n">
        <f aca="false">IF(AE$4&gt;=Headcount!$M5,Headcount!$N5,0)</f>
        <v>12500</v>
      </c>
      <c r="AF9" s="17" t="n">
        <f aca="false">IF(AF$4&gt;=Headcount!$M5,Headcount!$N5,0)</f>
        <v>12500</v>
      </c>
      <c r="AG9" s="17" t="n">
        <f aca="false">IF(AG$4&gt;=Headcount!$M5,Headcount!$N5,0)</f>
        <v>12500</v>
      </c>
      <c r="AH9" s="17" t="n">
        <f aca="false">IF(AH$4&gt;=Headcount!$M5,Headcount!$N5,0)</f>
        <v>12500</v>
      </c>
      <c r="AI9" s="17" t="n">
        <f aca="false">IF(AI$4&gt;=Headcount!$M5,Headcount!$N5,0)</f>
        <v>12500</v>
      </c>
      <c r="AJ9" s="17" t="n">
        <f aca="false">IF(AJ$4&gt;=Headcount!$M5,Headcount!$N5,0)</f>
        <v>12500</v>
      </c>
      <c r="AK9" s="17" t="n">
        <f aca="false">IF(AK$4&gt;=Headcount!$M5,Headcount!$N5,0)</f>
        <v>12500</v>
      </c>
      <c r="AL9" s="17" t="n">
        <f aca="false">IF(AL$4&gt;=Headcount!$M5,Headcount!$N5,0)</f>
        <v>12500</v>
      </c>
      <c r="AM9" s="17" t="n">
        <f aca="false">IF(AM$4&gt;=Headcount!$M5,Headcount!$N5,0)</f>
        <v>12500</v>
      </c>
      <c r="AN9" s="17" t="n">
        <f aca="false">IF(AN$4&gt;=Headcount!$M5,Headcount!$N5,0)</f>
        <v>12500</v>
      </c>
      <c r="AO9" s="17" t="n">
        <f aca="false">IF(AO$4&gt;=Headcount!$M5,Headcount!$N5,0)</f>
        <v>12500</v>
      </c>
    </row>
    <row r="10" customFormat="false" ht="15" hidden="false" customHeight="false" outlineLevel="0" collapsed="false">
      <c r="A10" s="24" t="str">
        <f aca="false">Headcount!B6</f>
        <v>Applied Physicist 1</v>
      </c>
      <c r="B10" s="24" t="str">
        <f aca="false">Headcount!D6</f>
        <v>EnergyWave, Inc.</v>
      </c>
      <c r="C10" s="24" t="str">
        <f aca="false">IF(Headcount!E6="W-2","Payroll","Consulting")</f>
        <v>Payroll</v>
      </c>
      <c r="D10" s="24" t="str">
        <f aca="false">IF(Headcount!E6="W-2","Salary &amp; load","Consulting fee")</f>
        <v>Salary &amp; load</v>
      </c>
      <c r="E10" s="30" t="n">
        <f aca="false">SUM(F10:AO10)</f>
        <v>533750</v>
      </c>
      <c r="F10" s="17" t="n">
        <f aca="false">IF(F$4&gt;=Headcount!$M6,Headcount!$N6,0)</f>
        <v>0</v>
      </c>
      <c r="G10" s="17" t="n">
        <f aca="false">IF(G$4&gt;=Headcount!$M6,Headcount!$N6,0)</f>
        <v>15250</v>
      </c>
      <c r="H10" s="17" t="n">
        <f aca="false">IF(H$4&gt;=Headcount!$M6,Headcount!$N6,0)</f>
        <v>15250</v>
      </c>
      <c r="I10" s="17" t="n">
        <f aca="false">IF(I$4&gt;=Headcount!$M6,Headcount!$N6,0)</f>
        <v>15250</v>
      </c>
      <c r="J10" s="17" t="n">
        <f aca="false">IF(J$4&gt;=Headcount!$M6,Headcount!$N6,0)</f>
        <v>15250</v>
      </c>
      <c r="K10" s="17" t="n">
        <f aca="false">IF(K$4&gt;=Headcount!$M6,Headcount!$N6,0)</f>
        <v>15250</v>
      </c>
      <c r="L10" s="17" t="n">
        <f aca="false">IF(L$4&gt;=Headcount!$M6,Headcount!$N6,0)</f>
        <v>15250</v>
      </c>
      <c r="M10" s="17" t="n">
        <f aca="false">IF(M$4&gt;=Headcount!$M6,Headcount!$N6,0)</f>
        <v>15250</v>
      </c>
      <c r="N10" s="17" t="n">
        <f aca="false">IF(N$4&gt;=Headcount!$M6,Headcount!$N6,0)</f>
        <v>15250</v>
      </c>
      <c r="O10" s="17" t="n">
        <f aca="false">IF(O$4&gt;=Headcount!$M6,Headcount!$N6,0)</f>
        <v>15250</v>
      </c>
      <c r="P10" s="17" t="n">
        <f aca="false">IF(P$4&gt;=Headcount!$M6,Headcount!$N6,0)</f>
        <v>15250</v>
      </c>
      <c r="Q10" s="17" t="n">
        <f aca="false">IF(Q$4&gt;=Headcount!$M6,Headcount!$N6,0)</f>
        <v>15250</v>
      </c>
      <c r="R10" s="17" t="n">
        <f aca="false">IF(R$4&gt;=Headcount!$M6,Headcount!$N6,0)</f>
        <v>15250</v>
      </c>
      <c r="S10" s="17" t="n">
        <f aca="false">IF(S$4&gt;=Headcount!$M6,Headcount!$N6,0)</f>
        <v>15250</v>
      </c>
      <c r="T10" s="17" t="n">
        <f aca="false">IF(T$4&gt;=Headcount!$M6,Headcount!$N6,0)</f>
        <v>15250</v>
      </c>
      <c r="U10" s="17" t="n">
        <f aca="false">IF(U$4&gt;=Headcount!$M6,Headcount!$N6,0)</f>
        <v>15250</v>
      </c>
      <c r="V10" s="17" t="n">
        <f aca="false">IF(V$4&gt;=Headcount!$M6,Headcount!$N6,0)</f>
        <v>15250</v>
      </c>
      <c r="W10" s="17" t="n">
        <f aca="false">IF(W$4&gt;=Headcount!$M6,Headcount!$N6,0)</f>
        <v>15250</v>
      </c>
      <c r="X10" s="17" t="n">
        <f aca="false">IF(X$4&gt;=Headcount!$M6,Headcount!$N6,0)</f>
        <v>15250</v>
      </c>
      <c r="Y10" s="17" t="n">
        <f aca="false">IF(Y$4&gt;=Headcount!$M6,Headcount!$N6,0)</f>
        <v>15250</v>
      </c>
      <c r="Z10" s="17" t="n">
        <f aca="false">IF(Z$4&gt;=Headcount!$M6,Headcount!$N6,0)</f>
        <v>15250</v>
      </c>
      <c r="AA10" s="17" t="n">
        <f aca="false">IF(AA$4&gt;=Headcount!$M6,Headcount!$N6,0)</f>
        <v>15250</v>
      </c>
      <c r="AB10" s="17" t="n">
        <f aca="false">IF(AB$4&gt;=Headcount!$M6,Headcount!$N6,0)</f>
        <v>15250</v>
      </c>
      <c r="AC10" s="17" t="n">
        <f aca="false">IF(AC$4&gt;=Headcount!$M6,Headcount!$N6,0)</f>
        <v>15250</v>
      </c>
      <c r="AD10" s="17" t="n">
        <f aca="false">IF(AD$4&gt;=Headcount!$M6,Headcount!$N6,0)</f>
        <v>15250</v>
      </c>
      <c r="AE10" s="17" t="n">
        <f aca="false">IF(AE$4&gt;=Headcount!$M6,Headcount!$N6,0)</f>
        <v>15250</v>
      </c>
      <c r="AF10" s="17" t="n">
        <f aca="false">IF(AF$4&gt;=Headcount!$M6,Headcount!$N6,0)</f>
        <v>15250</v>
      </c>
      <c r="AG10" s="17" t="n">
        <f aca="false">IF(AG$4&gt;=Headcount!$M6,Headcount!$N6,0)</f>
        <v>15250</v>
      </c>
      <c r="AH10" s="17" t="n">
        <f aca="false">IF(AH$4&gt;=Headcount!$M6,Headcount!$N6,0)</f>
        <v>15250</v>
      </c>
      <c r="AI10" s="17" t="n">
        <f aca="false">IF(AI$4&gt;=Headcount!$M6,Headcount!$N6,0)</f>
        <v>15250</v>
      </c>
      <c r="AJ10" s="17" t="n">
        <f aca="false">IF(AJ$4&gt;=Headcount!$M6,Headcount!$N6,0)</f>
        <v>15250</v>
      </c>
      <c r="AK10" s="17" t="n">
        <f aca="false">IF(AK$4&gt;=Headcount!$M6,Headcount!$N6,0)</f>
        <v>15250</v>
      </c>
      <c r="AL10" s="17" t="n">
        <f aca="false">IF(AL$4&gt;=Headcount!$M6,Headcount!$N6,0)</f>
        <v>15250</v>
      </c>
      <c r="AM10" s="17" t="n">
        <f aca="false">IF(AM$4&gt;=Headcount!$M6,Headcount!$N6,0)</f>
        <v>15250</v>
      </c>
      <c r="AN10" s="17" t="n">
        <f aca="false">IF(AN$4&gt;=Headcount!$M6,Headcount!$N6,0)</f>
        <v>15250</v>
      </c>
      <c r="AO10" s="17" t="n">
        <f aca="false">IF(AO$4&gt;=Headcount!$M6,Headcount!$N6,0)</f>
        <v>15250</v>
      </c>
    </row>
    <row r="11" customFormat="false" ht="15" hidden="false" customHeight="false" outlineLevel="0" collapsed="false">
      <c r="A11" s="24" t="str">
        <f aca="false">Headcount!B7</f>
        <v>Applied Physicist 2</v>
      </c>
      <c r="B11" s="24" t="str">
        <f aca="false">Headcount!D7</f>
        <v>EnergyWave, Inc.</v>
      </c>
      <c r="C11" s="24" t="str">
        <f aca="false">IF(Headcount!E7="W-2","Payroll","Consulting")</f>
        <v>Payroll</v>
      </c>
      <c r="D11" s="24" t="str">
        <f aca="false">IF(Headcount!E7="W-2","Salary &amp; load","Consulting fee")</f>
        <v>Salary &amp; load</v>
      </c>
      <c r="E11" s="30" t="n">
        <f aca="false">SUM(F11:AO11)</f>
        <v>533750</v>
      </c>
      <c r="F11" s="17" t="n">
        <f aca="false">IF(F$4&gt;=Headcount!$M7,Headcount!$N7,0)</f>
        <v>0</v>
      </c>
      <c r="G11" s="17" t="n">
        <f aca="false">IF(G$4&gt;=Headcount!$M7,Headcount!$N7,0)</f>
        <v>15250</v>
      </c>
      <c r="H11" s="17" t="n">
        <f aca="false">IF(H$4&gt;=Headcount!$M7,Headcount!$N7,0)</f>
        <v>15250</v>
      </c>
      <c r="I11" s="17" t="n">
        <f aca="false">IF(I$4&gt;=Headcount!$M7,Headcount!$N7,0)</f>
        <v>15250</v>
      </c>
      <c r="J11" s="17" t="n">
        <f aca="false">IF(J$4&gt;=Headcount!$M7,Headcount!$N7,0)</f>
        <v>15250</v>
      </c>
      <c r="K11" s="17" t="n">
        <f aca="false">IF(K$4&gt;=Headcount!$M7,Headcount!$N7,0)</f>
        <v>15250</v>
      </c>
      <c r="L11" s="17" t="n">
        <f aca="false">IF(L$4&gt;=Headcount!$M7,Headcount!$N7,0)</f>
        <v>15250</v>
      </c>
      <c r="M11" s="17" t="n">
        <f aca="false">IF(M$4&gt;=Headcount!$M7,Headcount!$N7,0)</f>
        <v>15250</v>
      </c>
      <c r="N11" s="17" t="n">
        <f aca="false">IF(N$4&gt;=Headcount!$M7,Headcount!$N7,0)</f>
        <v>15250</v>
      </c>
      <c r="O11" s="17" t="n">
        <f aca="false">IF(O$4&gt;=Headcount!$M7,Headcount!$N7,0)</f>
        <v>15250</v>
      </c>
      <c r="P11" s="17" t="n">
        <f aca="false">IF(P$4&gt;=Headcount!$M7,Headcount!$N7,0)</f>
        <v>15250</v>
      </c>
      <c r="Q11" s="17" t="n">
        <f aca="false">IF(Q$4&gt;=Headcount!$M7,Headcount!$N7,0)</f>
        <v>15250</v>
      </c>
      <c r="R11" s="17" t="n">
        <f aca="false">IF(R$4&gt;=Headcount!$M7,Headcount!$N7,0)</f>
        <v>15250</v>
      </c>
      <c r="S11" s="17" t="n">
        <f aca="false">IF(S$4&gt;=Headcount!$M7,Headcount!$N7,0)</f>
        <v>15250</v>
      </c>
      <c r="T11" s="17" t="n">
        <f aca="false">IF(T$4&gt;=Headcount!$M7,Headcount!$N7,0)</f>
        <v>15250</v>
      </c>
      <c r="U11" s="17" t="n">
        <f aca="false">IF(U$4&gt;=Headcount!$M7,Headcount!$N7,0)</f>
        <v>15250</v>
      </c>
      <c r="V11" s="17" t="n">
        <f aca="false">IF(V$4&gt;=Headcount!$M7,Headcount!$N7,0)</f>
        <v>15250</v>
      </c>
      <c r="W11" s="17" t="n">
        <f aca="false">IF(W$4&gt;=Headcount!$M7,Headcount!$N7,0)</f>
        <v>15250</v>
      </c>
      <c r="X11" s="17" t="n">
        <f aca="false">IF(X$4&gt;=Headcount!$M7,Headcount!$N7,0)</f>
        <v>15250</v>
      </c>
      <c r="Y11" s="17" t="n">
        <f aca="false">IF(Y$4&gt;=Headcount!$M7,Headcount!$N7,0)</f>
        <v>15250</v>
      </c>
      <c r="Z11" s="17" t="n">
        <f aca="false">IF(Z$4&gt;=Headcount!$M7,Headcount!$N7,0)</f>
        <v>15250</v>
      </c>
      <c r="AA11" s="17" t="n">
        <f aca="false">IF(AA$4&gt;=Headcount!$M7,Headcount!$N7,0)</f>
        <v>15250</v>
      </c>
      <c r="AB11" s="17" t="n">
        <f aca="false">IF(AB$4&gt;=Headcount!$M7,Headcount!$N7,0)</f>
        <v>15250</v>
      </c>
      <c r="AC11" s="17" t="n">
        <f aca="false">IF(AC$4&gt;=Headcount!$M7,Headcount!$N7,0)</f>
        <v>15250</v>
      </c>
      <c r="AD11" s="17" t="n">
        <f aca="false">IF(AD$4&gt;=Headcount!$M7,Headcount!$N7,0)</f>
        <v>15250</v>
      </c>
      <c r="AE11" s="17" t="n">
        <f aca="false">IF(AE$4&gt;=Headcount!$M7,Headcount!$N7,0)</f>
        <v>15250</v>
      </c>
      <c r="AF11" s="17" t="n">
        <f aca="false">IF(AF$4&gt;=Headcount!$M7,Headcount!$N7,0)</f>
        <v>15250</v>
      </c>
      <c r="AG11" s="17" t="n">
        <f aca="false">IF(AG$4&gt;=Headcount!$M7,Headcount!$N7,0)</f>
        <v>15250</v>
      </c>
      <c r="AH11" s="17" t="n">
        <f aca="false">IF(AH$4&gt;=Headcount!$M7,Headcount!$N7,0)</f>
        <v>15250</v>
      </c>
      <c r="AI11" s="17" t="n">
        <f aca="false">IF(AI$4&gt;=Headcount!$M7,Headcount!$N7,0)</f>
        <v>15250</v>
      </c>
      <c r="AJ11" s="17" t="n">
        <f aca="false">IF(AJ$4&gt;=Headcount!$M7,Headcount!$N7,0)</f>
        <v>15250</v>
      </c>
      <c r="AK11" s="17" t="n">
        <f aca="false">IF(AK$4&gt;=Headcount!$M7,Headcount!$N7,0)</f>
        <v>15250</v>
      </c>
      <c r="AL11" s="17" t="n">
        <f aca="false">IF(AL$4&gt;=Headcount!$M7,Headcount!$N7,0)</f>
        <v>15250</v>
      </c>
      <c r="AM11" s="17" t="n">
        <f aca="false">IF(AM$4&gt;=Headcount!$M7,Headcount!$N7,0)</f>
        <v>15250</v>
      </c>
      <c r="AN11" s="17" t="n">
        <f aca="false">IF(AN$4&gt;=Headcount!$M7,Headcount!$N7,0)</f>
        <v>15250</v>
      </c>
      <c r="AO11" s="17" t="n">
        <f aca="false">IF(AO$4&gt;=Headcount!$M7,Headcount!$N7,0)</f>
        <v>15250</v>
      </c>
    </row>
    <row r="12" customFormat="false" ht="15" hidden="false" customHeight="false" outlineLevel="0" collapsed="false">
      <c r="A12" s="24" t="str">
        <f aca="false">Headcount!B8</f>
        <v>Applied Physicist 3</v>
      </c>
      <c r="B12" s="24" t="str">
        <f aca="false">Headcount!D8</f>
        <v>EnergyWave, Inc.</v>
      </c>
      <c r="C12" s="24" t="str">
        <f aca="false">IF(Headcount!E8="W-2","Payroll","Consulting")</f>
        <v>Payroll</v>
      </c>
      <c r="D12" s="24" t="str">
        <f aca="false">IF(Headcount!E8="W-2","Salary &amp; load","Consulting fee")</f>
        <v>Salary &amp; load</v>
      </c>
      <c r="E12" s="30" t="n">
        <f aca="false">SUM(F12:AO12)</f>
        <v>518500</v>
      </c>
      <c r="F12" s="17" t="n">
        <f aca="false">IF(F$4&gt;=Headcount!$M8,Headcount!$N8,0)</f>
        <v>0</v>
      </c>
      <c r="G12" s="17" t="n">
        <f aca="false">IF(G$4&gt;=Headcount!$M8,Headcount!$N8,0)</f>
        <v>0</v>
      </c>
      <c r="H12" s="17" t="n">
        <f aca="false">IF(H$4&gt;=Headcount!$M8,Headcount!$N8,0)</f>
        <v>15250</v>
      </c>
      <c r="I12" s="17" t="n">
        <f aca="false">IF(I$4&gt;=Headcount!$M8,Headcount!$N8,0)</f>
        <v>15250</v>
      </c>
      <c r="J12" s="17" t="n">
        <f aca="false">IF(J$4&gt;=Headcount!$M8,Headcount!$N8,0)</f>
        <v>15250</v>
      </c>
      <c r="K12" s="17" t="n">
        <f aca="false">IF(K$4&gt;=Headcount!$M8,Headcount!$N8,0)</f>
        <v>15250</v>
      </c>
      <c r="L12" s="17" t="n">
        <f aca="false">IF(L$4&gt;=Headcount!$M8,Headcount!$N8,0)</f>
        <v>15250</v>
      </c>
      <c r="M12" s="17" t="n">
        <f aca="false">IF(M$4&gt;=Headcount!$M8,Headcount!$N8,0)</f>
        <v>15250</v>
      </c>
      <c r="N12" s="17" t="n">
        <f aca="false">IF(N$4&gt;=Headcount!$M8,Headcount!$N8,0)</f>
        <v>15250</v>
      </c>
      <c r="O12" s="17" t="n">
        <f aca="false">IF(O$4&gt;=Headcount!$M8,Headcount!$N8,0)</f>
        <v>15250</v>
      </c>
      <c r="P12" s="17" t="n">
        <f aca="false">IF(P$4&gt;=Headcount!$M8,Headcount!$N8,0)</f>
        <v>15250</v>
      </c>
      <c r="Q12" s="17" t="n">
        <f aca="false">IF(Q$4&gt;=Headcount!$M8,Headcount!$N8,0)</f>
        <v>15250</v>
      </c>
      <c r="R12" s="17" t="n">
        <f aca="false">IF(R$4&gt;=Headcount!$M8,Headcount!$N8,0)</f>
        <v>15250</v>
      </c>
      <c r="S12" s="17" t="n">
        <f aca="false">IF(S$4&gt;=Headcount!$M8,Headcount!$N8,0)</f>
        <v>15250</v>
      </c>
      <c r="T12" s="17" t="n">
        <f aca="false">IF(T$4&gt;=Headcount!$M8,Headcount!$N8,0)</f>
        <v>15250</v>
      </c>
      <c r="U12" s="17" t="n">
        <f aca="false">IF(U$4&gt;=Headcount!$M8,Headcount!$N8,0)</f>
        <v>15250</v>
      </c>
      <c r="V12" s="17" t="n">
        <f aca="false">IF(V$4&gt;=Headcount!$M8,Headcount!$N8,0)</f>
        <v>15250</v>
      </c>
      <c r="W12" s="17" t="n">
        <f aca="false">IF(W$4&gt;=Headcount!$M8,Headcount!$N8,0)</f>
        <v>15250</v>
      </c>
      <c r="X12" s="17" t="n">
        <f aca="false">IF(X$4&gt;=Headcount!$M8,Headcount!$N8,0)</f>
        <v>15250</v>
      </c>
      <c r="Y12" s="17" t="n">
        <f aca="false">IF(Y$4&gt;=Headcount!$M8,Headcount!$N8,0)</f>
        <v>15250</v>
      </c>
      <c r="Z12" s="17" t="n">
        <f aca="false">IF(Z$4&gt;=Headcount!$M8,Headcount!$N8,0)</f>
        <v>15250</v>
      </c>
      <c r="AA12" s="17" t="n">
        <f aca="false">IF(AA$4&gt;=Headcount!$M8,Headcount!$N8,0)</f>
        <v>15250</v>
      </c>
      <c r="AB12" s="17" t="n">
        <f aca="false">IF(AB$4&gt;=Headcount!$M8,Headcount!$N8,0)</f>
        <v>15250</v>
      </c>
      <c r="AC12" s="17" t="n">
        <f aca="false">IF(AC$4&gt;=Headcount!$M8,Headcount!$N8,0)</f>
        <v>15250</v>
      </c>
      <c r="AD12" s="17" t="n">
        <f aca="false">IF(AD$4&gt;=Headcount!$M8,Headcount!$N8,0)</f>
        <v>15250</v>
      </c>
      <c r="AE12" s="17" t="n">
        <f aca="false">IF(AE$4&gt;=Headcount!$M8,Headcount!$N8,0)</f>
        <v>15250</v>
      </c>
      <c r="AF12" s="17" t="n">
        <f aca="false">IF(AF$4&gt;=Headcount!$M8,Headcount!$N8,0)</f>
        <v>15250</v>
      </c>
      <c r="AG12" s="17" t="n">
        <f aca="false">IF(AG$4&gt;=Headcount!$M8,Headcount!$N8,0)</f>
        <v>15250</v>
      </c>
      <c r="AH12" s="17" t="n">
        <f aca="false">IF(AH$4&gt;=Headcount!$M8,Headcount!$N8,0)</f>
        <v>15250</v>
      </c>
      <c r="AI12" s="17" t="n">
        <f aca="false">IF(AI$4&gt;=Headcount!$M8,Headcount!$N8,0)</f>
        <v>15250</v>
      </c>
      <c r="AJ12" s="17" t="n">
        <f aca="false">IF(AJ$4&gt;=Headcount!$M8,Headcount!$N8,0)</f>
        <v>15250</v>
      </c>
      <c r="AK12" s="17" t="n">
        <f aca="false">IF(AK$4&gt;=Headcount!$M8,Headcount!$N8,0)</f>
        <v>15250</v>
      </c>
      <c r="AL12" s="17" t="n">
        <f aca="false">IF(AL$4&gt;=Headcount!$M8,Headcount!$N8,0)</f>
        <v>15250</v>
      </c>
      <c r="AM12" s="17" t="n">
        <f aca="false">IF(AM$4&gt;=Headcount!$M8,Headcount!$N8,0)</f>
        <v>15250</v>
      </c>
      <c r="AN12" s="17" t="n">
        <f aca="false">IF(AN$4&gt;=Headcount!$M8,Headcount!$N8,0)</f>
        <v>15250</v>
      </c>
      <c r="AO12" s="17" t="n">
        <f aca="false">IF(AO$4&gt;=Headcount!$M8,Headcount!$N8,0)</f>
        <v>15250</v>
      </c>
    </row>
    <row r="13" customFormat="false" ht="15" hidden="false" customHeight="false" outlineLevel="0" collapsed="false">
      <c r="A13" s="24" t="str">
        <f aca="false">Headcount!B9</f>
        <v>Applied Physicist 4</v>
      </c>
      <c r="B13" s="24" t="str">
        <f aca="false">Headcount!D9</f>
        <v>EnergyWave, Inc.</v>
      </c>
      <c r="C13" s="24" t="str">
        <f aca="false">IF(Headcount!E9="W-2","Payroll","Consulting")</f>
        <v>Payroll</v>
      </c>
      <c r="D13" s="24" t="str">
        <f aca="false">IF(Headcount!E9="W-2","Salary &amp; load","Consulting fee")</f>
        <v>Salary &amp; load</v>
      </c>
      <c r="E13" s="30" t="n">
        <f aca="false">SUM(F13:AO13)</f>
        <v>503250</v>
      </c>
      <c r="F13" s="17" t="n">
        <f aca="false">IF(F$4&gt;=Headcount!$M9,Headcount!$N9,0)</f>
        <v>0</v>
      </c>
      <c r="G13" s="17" t="n">
        <f aca="false">IF(G$4&gt;=Headcount!$M9,Headcount!$N9,0)</f>
        <v>0</v>
      </c>
      <c r="H13" s="17" t="n">
        <f aca="false">IF(H$4&gt;=Headcount!$M9,Headcount!$N9,0)</f>
        <v>0</v>
      </c>
      <c r="I13" s="17" t="n">
        <f aca="false">IF(I$4&gt;=Headcount!$M9,Headcount!$N9,0)</f>
        <v>15250</v>
      </c>
      <c r="J13" s="17" t="n">
        <f aca="false">IF(J$4&gt;=Headcount!$M9,Headcount!$N9,0)</f>
        <v>15250</v>
      </c>
      <c r="K13" s="17" t="n">
        <f aca="false">IF(K$4&gt;=Headcount!$M9,Headcount!$N9,0)</f>
        <v>15250</v>
      </c>
      <c r="L13" s="17" t="n">
        <f aca="false">IF(L$4&gt;=Headcount!$M9,Headcount!$N9,0)</f>
        <v>15250</v>
      </c>
      <c r="M13" s="17" t="n">
        <f aca="false">IF(M$4&gt;=Headcount!$M9,Headcount!$N9,0)</f>
        <v>15250</v>
      </c>
      <c r="N13" s="17" t="n">
        <f aca="false">IF(N$4&gt;=Headcount!$M9,Headcount!$N9,0)</f>
        <v>15250</v>
      </c>
      <c r="O13" s="17" t="n">
        <f aca="false">IF(O$4&gt;=Headcount!$M9,Headcount!$N9,0)</f>
        <v>15250</v>
      </c>
      <c r="P13" s="17" t="n">
        <f aca="false">IF(P$4&gt;=Headcount!$M9,Headcount!$N9,0)</f>
        <v>15250</v>
      </c>
      <c r="Q13" s="17" t="n">
        <f aca="false">IF(Q$4&gt;=Headcount!$M9,Headcount!$N9,0)</f>
        <v>15250</v>
      </c>
      <c r="R13" s="17" t="n">
        <f aca="false">IF(R$4&gt;=Headcount!$M9,Headcount!$N9,0)</f>
        <v>15250</v>
      </c>
      <c r="S13" s="17" t="n">
        <f aca="false">IF(S$4&gt;=Headcount!$M9,Headcount!$N9,0)</f>
        <v>15250</v>
      </c>
      <c r="T13" s="17" t="n">
        <f aca="false">IF(T$4&gt;=Headcount!$M9,Headcount!$N9,0)</f>
        <v>15250</v>
      </c>
      <c r="U13" s="17" t="n">
        <f aca="false">IF(U$4&gt;=Headcount!$M9,Headcount!$N9,0)</f>
        <v>15250</v>
      </c>
      <c r="V13" s="17" t="n">
        <f aca="false">IF(V$4&gt;=Headcount!$M9,Headcount!$N9,0)</f>
        <v>15250</v>
      </c>
      <c r="W13" s="17" t="n">
        <f aca="false">IF(W$4&gt;=Headcount!$M9,Headcount!$N9,0)</f>
        <v>15250</v>
      </c>
      <c r="X13" s="17" t="n">
        <f aca="false">IF(X$4&gt;=Headcount!$M9,Headcount!$N9,0)</f>
        <v>15250</v>
      </c>
      <c r="Y13" s="17" t="n">
        <f aca="false">IF(Y$4&gt;=Headcount!$M9,Headcount!$N9,0)</f>
        <v>15250</v>
      </c>
      <c r="Z13" s="17" t="n">
        <f aca="false">IF(Z$4&gt;=Headcount!$M9,Headcount!$N9,0)</f>
        <v>15250</v>
      </c>
      <c r="AA13" s="17" t="n">
        <f aca="false">IF(AA$4&gt;=Headcount!$M9,Headcount!$N9,0)</f>
        <v>15250</v>
      </c>
      <c r="AB13" s="17" t="n">
        <f aca="false">IF(AB$4&gt;=Headcount!$M9,Headcount!$N9,0)</f>
        <v>15250</v>
      </c>
      <c r="AC13" s="17" t="n">
        <f aca="false">IF(AC$4&gt;=Headcount!$M9,Headcount!$N9,0)</f>
        <v>15250</v>
      </c>
      <c r="AD13" s="17" t="n">
        <f aca="false">IF(AD$4&gt;=Headcount!$M9,Headcount!$N9,0)</f>
        <v>15250</v>
      </c>
      <c r="AE13" s="17" t="n">
        <f aca="false">IF(AE$4&gt;=Headcount!$M9,Headcount!$N9,0)</f>
        <v>15250</v>
      </c>
      <c r="AF13" s="17" t="n">
        <f aca="false">IF(AF$4&gt;=Headcount!$M9,Headcount!$N9,0)</f>
        <v>15250</v>
      </c>
      <c r="AG13" s="17" t="n">
        <f aca="false">IF(AG$4&gt;=Headcount!$M9,Headcount!$N9,0)</f>
        <v>15250</v>
      </c>
      <c r="AH13" s="17" t="n">
        <f aca="false">IF(AH$4&gt;=Headcount!$M9,Headcount!$N9,0)</f>
        <v>15250</v>
      </c>
      <c r="AI13" s="17" t="n">
        <f aca="false">IF(AI$4&gt;=Headcount!$M9,Headcount!$N9,0)</f>
        <v>15250</v>
      </c>
      <c r="AJ13" s="17" t="n">
        <f aca="false">IF(AJ$4&gt;=Headcount!$M9,Headcount!$N9,0)</f>
        <v>15250</v>
      </c>
      <c r="AK13" s="17" t="n">
        <f aca="false">IF(AK$4&gt;=Headcount!$M9,Headcount!$N9,0)</f>
        <v>15250</v>
      </c>
      <c r="AL13" s="17" t="n">
        <f aca="false">IF(AL$4&gt;=Headcount!$M9,Headcount!$N9,0)</f>
        <v>15250</v>
      </c>
      <c r="AM13" s="17" t="n">
        <f aca="false">IF(AM$4&gt;=Headcount!$M9,Headcount!$N9,0)</f>
        <v>15250</v>
      </c>
      <c r="AN13" s="17" t="n">
        <f aca="false">IF(AN$4&gt;=Headcount!$M9,Headcount!$N9,0)</f>
        <v>15250</v>
      </c>
      <c r="AO13" s="17" t="n">
        <f aca="false">IF(AO$4&gt;=Headcount!$M9,Headcount!$N9,0)</f>
        <v>15250</v>
      </c>
    </row>
    <row r="14" customFormat="false" ht="15" hidden="false" customHeight="false" outlineLevel="0" collapsed="false">
      <c r="A14" s="24" t="str">
        <f aca="false">Headcount!B10</f>
        <v>Applied Physicist 5</v>
      </c>
      <c r="B14" s="24" t="str">
        <f aca="false">Headcount!D10</f>
        <v>EnergyWave, Inc.</v>
      </c>
      <c r="C14" s="24" t="str">
        <f aca="false">IF(Headcount!E10="W-2","Payroll","Consulting")</f>
        <v>Payroll</v>
      </c>
      <c r="D14" s="24" t="str">
        <f aca="false">IF(Headcount!E10="W-2","Salary &amp; load","Consulting fee")</f>
        <v>Salary &amp; load</v>
      </c>
      <c r="E14" s="30" t="n">
        <f aca="false">SUM(F14:AO14)</f>
        <v>488000</v>
      </c>
      <c r="F14" s="17" t="n">
        <f aca="false">IF(F$4&gt;=Headcount!$M10,Headcount!$N10,0)</f>
        <v>0</v>
      </c>
      <c r="G14" s="17" t="n">
        <f aca="false">IF(G$4&gt;=Headcount!$M10,Headcount!$N10,0)</f>
        <v>0</v>
      </c>
      <c r="H14" s="17" t="n">
        <f aca="false">IF(H$4&gt;=Headcount!$M10,Headcount!$N10,0)</f>
        <v>0</v>
      </c>
      <c r="I14" s="17" t="n">
        <f aca="false">IF(I$4&gt;=Headcount!$M10,Headcount!$N10,0)</f>
        <v>0</v>
      </c>
      <c r="J14" s="17" t="n">
        <f aca="false">IF(J$4&gt;=Headcount!$M10,Headcount!$N10,0)</f>
        <v>15250</v>
      </c>
      <c r="K14" s="17" t="n">
        <f aca="false">IF(K$4&gt;=Headcount!$M10,Headcount!$N10,0)</f>
        <v>15250</v>
      </c>
      <c r="L14" s="17" t="n">
        <f aca="false">IF(L$4&gt;=Headcount!$M10,Headcount!$N10,0)</f>
        <v>15250</v>
      </c>
      <c r="M14" s="17" t="n">
        <f aca="false">IF(M$4&gt;=Headcount!$M10,Headcount!$N10,0)</f>
        <v>15250</v>
      </c>
      <c r="N14" s="17" t="n">
        <f aca="false">IF(N$4&gt;=Headcount!$M10,Headcount!$N10,0)</f>
        <v>15250</v>
      </c>
      <c r="O14" s="17" t="n">
        <f aca="false">IF(O$4&gt;=Headcount!$M10,Headcount!$N10,0)</f>
        <v>15250</v>
      </c>
      <c r="P14" s="17" t="n">
        <f aca="false">IF(P$4&gt;=Headcount!$M10,Headcount!$N10,0)</f>
        <v>15250</v>
      </c>
      <c r="Q14" s="17" t="n">
        <f aca="false">IF(Q$4&gt;=Headcount!$M10,Headcount!$N10,0)</f>
        <v>15250</v>
      </c>
      <c r="R14" s="17" t="n">
        <f aca="false">IF(R$4&gt;=Headcount!$M10,Headcount!$N10,0)</f>
        <v>15250</v>
      </c>
      <c r="S14" s="17" t="n">
        <f aca="false">IF(S$4&gt;=Headcount!$M10,Headcount!$N10,0)</f>
        <v>15250</v>
      </c>
      <c r="T14" s="17" t="n">
        <f aca="false">IF(T$4&gt;=Headcount!$M10,Headcount!$N10,0)</f>
        <v>15250</v>
      </c>
      <c r="U14" s="17" t="n">
        <f aca="false">IF(U$4&gt;=Headcount!$M10,Headcount!$N10,0)</f>
        <v>15250</v>
      </c>
      <c r="V14" s="17" t="n">
        <f aca="false">IF(V$4&gt;=Headcount!$M10,Headcount!$N10,0)</f>
        <v>15250</v>
      </c>
      <c r="W14" s="17" t="n">
        <f aca="false">IF(W$4&gt;=Headcount!$M10,Headcount!$N10,0)</f>
        <v>15250</v>
      </c>
      <c r="X14" s="17" t="n">
        <f aca="false">IF(X$4&gt;=Headcount!$M10,Headcount!$N10,0)</f>
        <v>15250</v>
      </c>
      <c r="Y14" s="17" t="n">
        <f aca="false">IF(Y$4&gt;=Headcount!$M10,Headcount!$N10,0)</f>
        <v>15250</v>
      </c>
      <c r="Z14" s="17" t="n">
        <f aca="false">IF(Z$4&gt;=Headcount!$M10,Headcount!$N10,0)</f>
        <v>15250</v>
      </c>
      <c r="AA14" s="17" t="n">
        <f aca="false">IF(AA$4&gt;=Headcount!$M10,Headcount!$N10,0)</f>
        <v>15250</v>
      </c>
      <c r="AB14" s="17" t="n">
        <f aca="false">IF(AB$4&gt;=Headcount!$M10,Headcount!$N10,0)</f>
        <v>15250</v>
      </c>
      <c r="AC14" s="17" t="n">
        <f aca="false">IF(AC$4&gt;=Headcount!$M10,Headcount!$N10,0)</f>
        <v>15250</v>
      </c>
      <c r="AD14" s="17" t="n">
        <f aca="false">IF(AD$4&gt;=Headcount!$M10,Headcount!$N10,0)</f>
        <v>15250</v>
      </c>
      <c r="AE14" s="17" t="n">
        <f aca="false">IF(AE$4&gt;=Headcount!$M10,Headcount!$N10,0)</f>
        <v>15250</v>
      </c>
      <c r="AF14" s="17" t="n">
        <f aca="false">IF(AF$4&gt;=Headcount!$M10,Headcount!$N10,0)</f>
        <v>15250</v>
      </c>
      <c r="AG14" s="17" t="n">
        <f aca="false">IF(AG$4&gt;=Headcount!$M10,Headcount!$N10,0)</f>
        <v>15250</v>
      </c>
      <c r="AH14" s="17" t="n">
        <f aca="false">IF(AH$4&gt;=Headcount!$M10,Headcount!$N10,0)</f>
        <v>15250</v>
      </c>
      <c r="AI14" s="17" t="n">
        <f aca="false">IF(AI$4&gt;=Headcount!$M10,Headcount!$N10,0)</f>
        <v>15250</v>
      </c>
      <c r="AJ14" s="17" t="n">
        <f aca="false">IF(AJ$4&gt;=Headcount!$M10,Headcount!$N10,0)</f>
        <v>15250</v>
      </c>
      <c r="AK14" s="17" t="n">
        <f aca="false">IF(AK$4&gt;=Headcount!$M10,Headcount!$N10,0)</f>
        <v>15250</v>
      </c>
      <c r="AL14" s="17" t="n">
        <f aca="false">IF(AL$4&gt;=Headcount!$M10,Headcount!$N10,0)</f>
        <v>15250</v>
      </c>
      <c r="AM14" s="17" t="n">
        <f aca="false">IF(AM$4&gt;=Headcount!$M10,Headcount!$N10,0)</f>
        <v>15250</v>
      </c>
      <c r="AN14" s="17" t="n">
        <f aca="false">IF(AN$4&gt;=Headcount!$M10,Headcount!$N10,0)</f>
        <v>15250</v>
      </c>
      <c r="AO14" s="17" t="n">
        <f aca="false">IF(AO$4&gt;=Headcount!$M10,Headcount!$N10,0)</f>
        <v>15250</v>
      </c>
    </row>
    <row r="15" customFormat="false" ht="15" hidden="false" customHeight="false" outlineLevel="0" collapsed="false">
      <c r="A15" s="24" t="str">
        <f aca="false">Headcount!B11</f>
        <v>Theoretical Physicist — consulting agreement 1</v>
      </c>
      <c r="B15" s="24" t="str">
        <f aca="false">Headcount!D11</f>
        <v>EnergyWave, Inc.</v>
      </c>
      <c r="C15" s="24" t="str">
        <f aca="false">IF(Headcount!E11="W-2","Payroll","Consulting")</f>
        <v>Consulting</v>
      </c>
      <c r="D15" s="24" t="str">
        <f aca="false">IF(Headcount!E11="W-2","Salary &amp; load","Consulting fee")</f>
        <v>Consulting fee</v>
      </c>
      <c r="E15" s="30" t="n">
        <f aca="false">SUM(F15:AO15)</f>
        <v>1500000</v>
      </c>
      <c r="F15" s="17" t="n">
        <f aca="false">IF(F$4&gt;=Headcount!$M11,Headcount!$N11,0)</f>
        <v>41666.6666666667</v>
      </c>
      <c r="G15" s="17" t="n">
        <f aca="false">IF(G$4&gt;=Headcount!$M11,Headcount!$N11,0)</f>
        <v>41666.6666666667</v>
      </c>
      <c r="H15" s="17" t="n">
        <f aca="false">IF(H$4&gt;=Headcount!$M11,Headcount!$N11,0)</f>
        <v>41666.6666666667</v>
      </c>
      <c r="I15" s="17" t="n">
        <f aca="false">IF(I$4&gt;=Headcount!$M11,Headcount!$N11,0)</f>
        <v>41666.6666666667</v>
      </c>
      <c r="J15" s="17" t="n">
        <f aca="false">IF(J$4&gt;=Headcount!$M11,Headcount!$N11,0)</f>
        <v>41666.6666666667</v>
      </c>
      <c r="K15" s="17" t="n">
        <f aca="false">IF(K$4&gt;=Headcount!$M11,Headcount!$N11,0)</f>
        <v>41666.6666666667</v>
      </c>
      <c r="L15" s="17" t="n">
        <f aca="false">IF(L$4&gt;=Headcount!$M11,Headcount!$N11,0)</f>
        <v>41666.6666666667</v>
      </c>
      <c r="M15" s="17" t="n">
        <f aca="false">IF(M$4&gt;=Headcount!$M11,Headcount!$N11,0)</f>
        <v>41666.6666666667</v>
      </c>
      <c r="N15" s="17" t="n">
        <f aca="false">IF(N$4&gt;=Headcount!$M11,Headcount!$N11,0)</f>
        <v>41666.6666666667</v>
      </c>
      <c r="O15" s="17" t="n">
        <f aca="false">IF(O$4&gt;=Headcount!$M11,Headcount!$N11,0)</f>
        <v>41666.6666666667</v>
      </c>
      <c r="P15" s="17" t="n">
        <f aca="false">IF(P$4&gt;=Headcount!$M11,Headcount!$N11,0)</f>
        <v>41666.6666666667</v>
      </c>
      <c r="Q15" s="17" t="n">
        <f aca="false">IF(Q$4&gt;=Headcount!$M11,Headcount!$N11,0)</f>
        <v>41666.6666666667</v>
      </c>
      <c r="R15" s="17" t="n">
        <f aca="false">IF(R$4&gt;=Headcount!$M11,Headcount!$N11,0)</f>
        <v>41666.6666666667</v>
      </c>
      <c r="S15" s="17" t="n">
        <f aca="false">IF(S$4&gt;=Headcount!$M11,Headcount!$N11,0)</f>
        <v>41666.6666666667</v>
      </c>
      <c r="T15" s="17" t="n">
        <f aca="false">IF(T$4&gt;=Headcount!$M11,Headcount!$N11,0)</f>
        <v>41666.6666666667</v>
      </c>
      <c r="U15" s="17" t="n">
        <f aca="false">IF(U$4&gt;=Headcount!$M11,Headcount!$N11,0)</f>
        <v>41666.6666666667</v>
      </c>
      <c r="V15" s="17" t="n">
        <f aca="false">IF(V$4&gt;=Headcount!$M11,Headcount!$N11,0)</f>
        <v>41666.6666666667</v>
      </c>
      <c r="W15" s="17" t="n">
        <f aca="false">IF(W$4&gt;=Headcount!$M11,Headcount!$N11,0)</f>
        <v>41666.6666666667</v>
      </c>
      <c r="X15" s="17" t="n">
        <f aca="false">IF(X$4&gt;=Headcount!$M11,Headcount!$N11,0)</f>
        <v>41666.6666666667</v>
      </c>
      <c r="Y15" s="17" t="n">
        <f aca="false">IF(Y$4&gt;=Headcount!$M11,Headcount!$N11,0)</f>
        <v>41666.6666666667</v>
      </c>
      <c r="Z15" s="17" t="n">
        <f aca="false">IF(Z$4&gt;=Headcount!$M11,Headcount!$N11,0)</f>
        <v>41666.6666666667</v>
      </c>
      <c r="AA15" s="17" t="n">
        <f aca="false">IF(AA$4&gt;=Headcount!$M11,Headcount!$N11,0)</f>
        <v>41666.6666666667</v>
      </c>
      <c r="AB15" s="17" t="n">
        <f aca="false">IF(AB$4&gt;=Headcount!$M11,Headcount!$N11,0)</f>
        <v>41666.6666666667</v>
      </c>
      <c r="AC15" s="17" t="n">
        <f aca="false">IF(AC$4&gt;=Headcount!$M11,Headcount!$N11,0)</f>
        <v>41666.6666666667</v>
      </c>
      <c r="AD15" s="17" t="n">
        <f aca="false">IF(AD$4&gt;=Headcount!$M11,Headcount!$N11,0)</f>
        <v>41666.6666666667</v>
      </c>
      <c r="AE15" s="17" t="n">
        <f aca="false">IF(AE$4&gt;=Headcount!$M11,Headcount!$N11,0)</f>
        <v>41666.6666666667</v>
      </c>
      <c r="AF15" s="17" t="n">
        <f aca="false">IF(AF$4&gt;=Headcount!$M11,Headcount!$N11,0)</f>
        <v>41666.6666666667</v>
      </c>
      <c r="AG15" s="17" t="n">
        <f aca="false">IF(AG$4&gt;=Headcount!$M11,Headcount!$N11,0)</f>
        <v>41666.6666666667</v>
      </c>
      <c r="AH15" s="17" t="n">
        <f aca="false">IF(AH$4&gt;=Headcount!$M11,Headcount!$N11,0)</f>
        <v>41666.6666666667</v>
      </c>
      <c r="AI15" s="17" t="n">
        <f aca="false">IF(AI$4&gt;=Headcount!$M11,Headcount!$N11,0)</f>
        <v>41666.6666666667</v>
      </c>
      <c r="AJ15" s="17" t="n">
        <f aca="false">IF(AJ$4&gt;=Headcount!$M11,Headcount!$N11,0)</f>
        <v>41666.6666666667</v>
      </c>
      <c r="AK15" s="17" t="n">
        <f aca="false">IF(AK$4&gt;=Headcount!$M11,Headcount!$N11,0)</f>
        <v>41666.6666666667</v>
      </c>
      <c r="AL15" s="17" t="n">
        <f aca="false">IF(AL$4&gt;=Headcount!$M11,Headcount!$N11,0)</f>
        <v>41666.6666666667</v>
      </c>
      <c r="AM15" s="17" t="n">
        <f aca="false">IF(AM$4&gt;=Headcount!$M11,Headcount!$N11,0)</f>
        <v>41666.6666666667</v>
      </c>
      <c r="AN15" s="17" t="n">
        <f aca="false">IF(AN$4&gt;=Headcount!$M11,Headcount!$N11,0)</f>
        <v>41666.6666666667</v>
      </c>
      <c r="AO15" s="17" t="n">
        <f aca="false">IF(AO$4&gt;=Headcount!$M11,Headcount!$N11,0)</f>
        <v>41666.6666666667</v>
      </c>
    </row>
    <row r="16" customFormat="false" ht="15" hidden="false" customHeight="false" outlineLevel="0" collapsed="false">
      <c r="A16" s="24" t="str">
        <f aca="false">Headcount!B12</f>
        <v>Theoretical Physicist — consulting agreement 2</v>
      </c>
      <c r="B16" s="24" t="str">
        <f aca="false">Headcount!D12</f>
        <v>EnergyWave, Inc.</v>
      </c>
      <c r="C16" s="24" t="str">
        <f aca="false">IF(Headcount!E12="W-2","Payroll","Consulting")</f>
        <v>Consulting</v>
      </c>
      <c r="D16" s="24" t="str">
        <f aca="false">IF(Headcount!E12="W-2","Salary &amp; load","Consulting fee")</f>
        <v>Consulting fee</v>
      </c>
      <c r="E16" s="30" t="n">
        <f aca="false">SUM(F16:AO16)</f>
        <v>1416666.66666667</v>
      </c>
      <c r="F16" s="17" t="n">
        <f aca="false">IF(F$4&gt;=Headcount!$M12,Headcount!$N12,0)</f>
        <v>0</v>
      </c>
      <c r="G16" s="17" t="n">
        <f aca="false">IF(G$4&gt;=Headcount!$M12,Headcount!$N12,0)</f>
        <v>0</v>
      </c>
      <c r="H16" s="17" t="n">
        <f aca="false">IF(H$4&gt;=Headcount!$M12,Headcount!$N12,0)</f>
        <v>41666.6666666667</v>
      </c>
      <c r="I16" s="17" t="n">
        <f aca="false">IF(I$4&gt;=Headcount!$M12,Headcount!$N12,0)</f>
        <v>41666.6666666667</v>
      </c>
      <c r="J16" s="17" t="n">
        <f aca="false">IF(J$4&gt;=Headcount!$M12,Headcount!$N12,0)</f>
        <v>41666.6666666667</v>
      </c>
      <c r="K16" s="17" t="n">
        <f aca="false">IF(K$4&gt;=Headcount!$M12,Headcount!$N12,0)</f>
        <v>41666.6666666667</v>
      </c>
      <c r="L16" s="17" t="n">
        <f aca="false">IF(L$4&gt;=Headcount!$M12,Headcount!$N12,0)</f>
        <v>41666.6666666667</v>
      </c>
      <c r="M16" s="17" t="n">
        <f aca="false">IF(M$4&gt;=Headcount!$M12,Headcount!$N12,0)</f>
        <v>41666.6666666667</v>
      </c>
      <c r="N16" s="17" t="n">
        <f aca="false">IF(N$4&gt;=Headcount!$M12,Headcount!$N12,0)</f>
        <v>41666.6666666667</v>
      </c>
      <c r="O16" s="17" t="n">
        <f aca="false">IF(O$4&gt;=Headcount!$M12,Headcount!$N12,0)</f>
        <v>41666.6666666667</v>
      </c>
      <c r="P16" s="17" t="n">
        <f aca="false">IF(P$4&gt;=Headcount!$M12,Headcount!$N12,0)</f>
        <v>41666.6666666667</v>
      </c>
      <c r="Q16" s="17" t="n">
        <f aca="false">IF(Q$4&gt;=Headcount!$M12,Headcount!$N12,0)</f>
        <v>41666.6666666667</v>
      </c>
      <c r="R16" s="17" t="n">
        <f aca="false">IF(R$4&gt;=Headcount!$M12,Headcount!$N12,0)</f>
        <v>41666.6666666667</v>
      </c>
      <c r="S16" s="17" t="n">
        <f aca="false">IF(S$4&gt;=Headcount!$M12,Headcount!$N12,0)</f>
        <v>41666.6666666667</v>
      </c>
      <c r="T16" s="17" t="n">
        <f aca="false">IF(T$4&gt;=Headcount!$M12,Headcount!$N12,0)</f>
        <v>41666.6666666667</v>
      </c>
      <c r="U16" s="17" t="n">
        <f aca="false">IF(U$4&gt;=Headcount!$M12,Headcount!$N12,0)</f>
        <v>41666.6666666667</v>
      </c>
      <c r="V16" s="17" t="n">
        <f aca="false">IF(V$4&gt;=Headcount!$M12,Headcount!$N12,0)</f>
        <v>41666.6666666667</v>
      </c>
      <c r="W16" s="17" t="n">
        <f aca="false">IF(W$4&gt;=Headcount!$M12,Headcount!$N12,0)</f>
        <v>41666.6666666667</v>
      </c>
      <c r="X16" s="17" t="n">
        <f aca="false">IF(X$4&gt;=Headcount!$M12,Headcount!$N12,0)</f>
        <v>41666.6666666667</v>
      </c>
      <c r="Y16" s="17" t="n">
        <f aca="false">IF(Y$4&gt;=Headcount!$M12,Headcount!$N12,0)</f>
        <v>41666.6666666667</v>
      </c>
      <c r="Z16" s="17" t="n">
        <f aca="false">IF(Z$4&gt;=Headcount!$M12,Headcount!$N12,0)</f>
        <v>41666.6666666667</v>
      </c>
      <c r="AA16" s="17" t="n">
        <f aca="false">IF(AA$4&gt;=Headcount!$M12,Headcount!$N12,0)</f>
        <v>41666.6666666667</v>
      </c>
      <c r="AB16" s="17" t="n">
        <f aca="false">IF(AB$4&gt;=Headcount!$M12,Headcount!$N12,0)</f>
        <v>41666.6666666667</v>
      </c>
      <c r="AC16" s="17" t="n">
        <f aca="false">IF(AC$4&gt;=Headcount!$M12,Headcount!$N12,0)</f>
        <v>41666.6666666667</v>
      </c>
      <c r="AD16" s="17" t="n">
        <f aca="false">IF(AD$4&gt;=Headcount!$M12,Headcount!$N12,0)</f>
        <v>41666.6666666667</v>
      </c>
      <c r="AE16" s="17" t="n">
        <f aca="false">IF(AE$4&gt;=Headcount!$M12,Headcount!$N12,0)</f>
        <v>41666.6666666667</v>
      </c>
      <c r="AF16" s="17" t="n">
        <f aca="false">IF(AF$4&gt;=Headcount!$M12,Headcount!$N12,0)</f>
        <v>41666.6666666667</v>
      </c>
      <c r="AG16" s="17" t="n">
        <f aca="false">IF(AG$4&gt;=Headcount!$M12,Headcount!$N12,0)</f>
        <v>41666.6666666667</v>
      </c>
      <c r="AH16" s="17" t="n">
        <f aca="false">IF(AH$4&gt;=Headcount!$M12,Headcount!$N12,0)</f>
        <v>41666.6666666667</v>
      </c>
      <c r="AI16" s="17" t="n">
        <f aca="false">IF(AI$4&gt;=Headcount!$M12,Headcount!$N12,0)</f>
        <v>41666.6666666667</v>
      </c>
      <c r="AJ16" s="17" t="n">
        <f aca="false">IF(AJ$4&gt;=Headcount!$M12,Headcount!$N12,0)</f>
        <v>41666.6666666667</v>
      </c>
      <c r="AK16" s="17" t="n">
        <f aca="false">IF(AK$4&gt;=Headcount!$M12,Headcount!$N12,0)</f>
        <v>41666.6666666667</v>
      </c>
      <c r="AL16" s="17" t="n">
        <f aca="false">IF(AL$4&gt;=Headcount!$M12,Headcount!$N12,0)</f>
        <v>41666.6666666667</v>
      </c>
      <c r="AM16" s="17" t="n">
        <f aca="false">IF(AM$4&gt;=Headcount!$M12,Headcount!$N12,0)</f>
        <v>41666.6666666667</v>
      </c>
      <c r="AN16" s="17" t="n">
        <f aca="false">IF(AN$4&gt;=Headcount!$M12,Headcount!$N12,0)</f>
        <v>41666.6666666667</v>
      </c>
      <c r="AO16" s="17" t="n">
        <f aca="false">IF(AO$4&gt;=Headcount!$M12,Headcount!$N12,0)</f>
        <v>41666.6666666667</v>
      </c>
    </row>
    <row r="17" customFormat="false" ht="15" hidden="false" customHeight="false" outlineLevel="0" collapsed="false">
      <c r="A17" s="24" t="str">
        <f aca="false">Headcount!B13</f>
        <v>Lab Safety / EHS Officer</v>
      </c>
      <c r="B17" s="24" t="str">
        <f aca="false">Headcount!D13</f>
        <v>EnergyWave, Inc.</v>
      </c>
      <c r="C17" s="24" t="str">
        <f aca="false">IF(Headcount!E13="W-2","Payroll","Consulting")</f>
        <v>Payroll</v>
      </c>
      <c r="D17" s="24" t="str">
        <f aca="false">IF(Headcount!E13="W-2","Salary &amp; load","Consulting fee")</f>
        <v>Salary &amp; load</v>
      </c>
      <c r="E17" s="30" t="n">
        <f aca="false">SUM(F17:AO17)</f>
        <v>439200</v>
      </c>
      <c r="F17" s="17" t="n">
        <f aca="false">IF(F$4&gt;=Headcount!$M13,Headcount!$N13,0)</f>
        <v>12200</v>
      </c>
      <c r="G17" s="17" t="n">
        <f aca="false">IF(G$4&gt;=Headcount!$M13,Headcount!$N13,0)</f>
        <v>12200</v>
      </c>
      <c r="H17" s="17" t="n">
        <f aca="false">IF(H$4&gt;=Headcount!$M13,Headcount!$N13,0)</f>
        <v>12200</v>
      </c>
      <c r="I17" s="17" t="n">
        <f aca="false">IF(I$4&gt;=Headcount!$M13,Headcount!$N13,0)</f>
        <v>12200</v>
      </c>
      <c r="J17" s="17" t="n">
        <f aca="false">IF(J$4&gt;=Headcount!$M13,Headcount!$N13,0)</f>
        <v>12200</v>
      </c>
      <c r="K17" s="17" t="n">
        <f aca="false">IF(K$4&gt;=Headcount!$M13,Headcount!$N13,0)</f>
        <v>12200</v>
      </c>
      <c r="L17" s="17" t="n">
        <f aca="false">IF(L$4&gt;=Headcount!$M13,Headcount!$N13,0)</f>
        <v>12200</v>
      </c>
      <c r="M17" s="17" t="n">
        <f aca="false">IF(M$4&gt;=Headcount!$M13,Headcount!$N13,0)</f>
        <v>12200</v>
      </c>
      <c r="N17" s="17" t="n">
        <f aca="false">IF(N$4&gt;=Headcount!$M13,Headcount!$N13,0)</f>
        <v>12200</v>
      </c>
      <c r="O17" s="17" t="n">
        <f aca="false">IF(O$4&gt;=Headcount!$M13,Headcount!$N13,0)</f>
        <v>12200</v>
      </c>
      <c r="P17" s="17" t="n">
        <f aca="false">IF(P$4&gt;=Headcount!$M13,Headcount!$N13,0)</f>
        <v>12200</v>
      </c>
      <c r="Q17" s="17" t="n">
        <f aca="false">IF(Q$4&gt;=Headcount!$M13,Headcount!$N13,0)</f>
        <v>12200</v>
      </c>
      <c r="R17" s="17" t="n">
        <f aca="false">IF(R$4&gt;=Headcount!$M13,Headcount!$N13,0)</f>
        <v>12200</v>
      </c>
      <c r="S17" s="17" t="n">
        <f aca="false">IF(S$4&gt;=Headcount!$M13,Headcount!$N13,0)</f>
        <v>12200</v>
      </c>
      <c r="T17" s="17" t="n">
        <f aca="false">IF(T$4&gt;=Headcount!$M13,Headcount!$N13,0)</f>
        <v>12200</v>
      </c>
      <c r="U17" s="17" t="n">
        <f aca="false">IF(U$4&gt;=Headcount!$M13,Headcount!$N13,0)</f>
        <v>12200</v>
      </c>
      <c r="V17" s="17" t="n">
        <f aca="false">IF(V$4&gt;=Headcount!$M13,Headcount!$N13,0)</f>
        <v>12200</v>
      </c>
      <c r="W17" s="17" t="n">
        <f aca="false">IF(W$4&gt;=Headcount!$M13,Headcount!$N13,0)</f>
        <v>12200</v>
      </c>
      <c r="X17" s="17" t="n">
        <f aca="false">IF(X$4&gt;=Headcount!$M13,Headcount!$N13,0)</f>
        <v>12200</v>
      </c>
      <c r="Y17" s="17" t="n">
        <f aca="false">IF(Y$4&gt;=Headcount!$M13,Headcount!$N13,0)</f>
        <v>12200</v>
      </c>
      <c r="Z17" s="17" t="n">
        <f aca="false">IF(Z$4&gt;=Headcount!$M13,Headcount!$N13,0)</f>
        <v>12200</v>
      </c>
      <c r="AA17" s="17" t="n">
        <f aca="false">IF(AA$4&gt;=Headcount!$M13,Headcount!$N13,0)</f>
        <v>12200</v>
      </c>
      <c r="AB17" s="17" t="n">
        <f aca="false">IF(AB$4&gt;=Headcount!$M13,Headcount!$N13,0)</f>
        <v>12200</v>
      </c>
      <c r="AC17" s="17" t="n">
        <f aca="false">IF(AC$4&gt;=Headcount!$M13,Headcount!$N13,0)</f>
        <v>12200</v>
      </c>
      <c r="AD17" s="17" t="n">
        <f aca="false">IF(AD$4&gt;=Headcount!$M13,Headcount!$N13,0)</f>
        <v>12200</v>
      </c>
      <c r="AE17" s="17" t="n">
        <f aca="false">IF(AE$4&gt;=Headcount!$M13,Headcount!$N13,0)</f>
        <v>12200</v>
      </c>
      <c r="AF17" s="17" t="n">
        <f aca="false">IF(AF$4&gt;=Headcount!$M13,Headcount!$N13,0)</f>
        <v>12200</v>
      </c>
      <c r="AG17" s="17" t="n">
        <f aca="false">IF(AG$4&gt;=Headcount!$M13,Headcount!$N13,0)</f>
        <v>12200</v>
      </c>
      <c r="AH17" s="17" t="n">
        <f aca="false">IF(AH$4&gt;=Headcount!$M13,Headcount!$N13,0)</f>
        <v>12200</v>
      </c>
      <c r="AI17" s="17" t="n">
        <f aca="false">IF(AI$4&gt;=Headcount!$M13,Headcount!$N13,0)</f>
        <v>12200</v>
      </c>
      <c r="AJ17" s="17" t="n">
        <f aca="false">IF(AJ$4&gt;=Headcount!$M13,Headcount!$N13,0)</f>
        <v>12200</v>
      </c>
      <c r="AK17" s="17" t="n">
        <f aca="false">IF(AK$4&gt;=Headcount!$M13,Headcount!$N13,0)</f>
        <v>12200</v>
      </c>
      <c r="AL17" s="17" t="n">
        <f aca="false">IF(AL$4&gt;=Headcount!$M13,Headcount!$N13,0)</f>
        <v>12200</v>
      </c>
      <c r="AM17" s="17" t="n">
        <f aca="false">IF(AM$4&gt;=Headcount!$M13,Headcount!$N13,0)</f>
        <v>12200</v>
      </c>
      <c r="AN17" s="17" t="n">
        <f aca="false">IF(AN$4&gt;=Headcount!$M13,Headcount!$N13,0)</f>
        <v>12200</v>
      </c>
      <c r="AO17" s="17" t="n">
        <f aca="false">IF(AO$4&gt;=Headcount!$M13,Headcount!$N13,0)</f>
        <v>12200</v>
      </c>
    </row>
    <row r="18" customFormat="false" ht="15" hidden="false" customHeight="false" outlineLevel="0" collapsed="false">
      <c r="A18" s="24" t="str">
        <f aca="false">Headcount!B14</f>
        <v>Test &amp; Instrumentation Engineer 1 (calorimetry)</v>
      </c>
      <c r="B18" s="24" t="str">
        <f aca="false">Headcount!D14</f>
        <v>EnergyWave, Inc.</v>
      </c>
      <c r="C18" s="24" t="str">
        <f aca="false">IF(Headcount!E14="W-2","Payroll","Consulting")</f>
        <v>Payroll</v>
      </c>
      <c r="D18" s="24" t="str">
        <f aca="false">IF(Headcount!E14="W-2","Salary &amp; load","Consulting fee")</f>
        <v>Salary &amp; load</v>
      </c>
      <c r="E18" s="30" t="n">
        <f aca="false">SUM(F18:AO18)</f>
        <v>480375</v>
      </c>
      <c r="F18" s="17" t="n">
        <f aca="false">IF(F$4&gt;=Headcount!$M14,Headcount!$N14,0)</f>
        <v>0</v>
      </c>
      <c r="G18" s="17" t="n">
        <f aca="false">IF(G$4&gt;=Headcount!$M14,Headcount!$N14,0)</f>
        <v>13725</v>
      </c>
      <c r="H18" s="17" t="n">
        <f aca="false">IF(H$4&gt;=Headcount!$M14,Headcount!$N14,0)</f>
        <v>13725</v>
      </c>
      <c r="I18" s="17" t="n">
        <f aca="false">IF(I$4&gt;=Headcount!$M14,Headcount!$N14,0)</f>
        <v>13725</v>
      </c>
      <c r="J18" s="17" t="n">
        <f aca="false">IF(J$4&gt;=Headcount!$M14,Headcount!$N14,0)</f>
        <v>13725</v>
      </c>
      <c r="K18" s="17" t="n">
        <f aca="false">IF(K$4&gt;=Headcount!$M14,Headcount!$N14,0)</f>
        <v>13725</v>
      </c>
      <c r="L18" s="17" t="n">
        <f aca="false">IF(L$4&gt;=Headcount!$M14,Headcount!$N14,0)</f>
        <v>13725</v>
      </c>
      <c r="M18" s="17" t="n">
        <f aca="false">IF(M$4&gt;=Headcount!$M14,Headcount!$N14,0)</f>
        <v>13725</v>
      </c>
      <c r="N18" s="17" t="n">
        <f aca="false">IF(N$4&gt;=Headcount!$M14,Headcount!$N14,0)</f>
        <v>13725</v>
      </c>
      <c r="O18" s="17" t="n">
        <f aca="false">IF(O$4&gt;=Headcount!$M14,Headcount!$N14,0)</f>
        <v>13725</v>
      </c>
      <c r="P18" s="17" t="n">
        <f aca="false">IF(P$4&gt;=Headcount!$M14,Headcount!$N14,0)</f>
        <v>13725</v>
      </c>
      <c r="Q18" s="17" t="n">
        <f aca="false">IF(Q$4&gt;=Headcount!$M14,Headcount!$N14,0)</f>
        <v>13725</v>
      </c>
      <c r="R18" s="17" t="n">
        <f aca="false">IF(R$4&gt;=Headcount!$M14,Headcount!$N14,0)</f>
        <v>13725</v>
      </c>
      <c r="S18" s="17" t="n">
        <f aca="false">IF(S$4&gt;=Headcount!$M14,Headcount!$N14,0)</f>
        <v>13725</v>
      </c>
      <c r="T18" s="17" t="n">
        <f aca="false">IF(T$4&gt;=Headcount!$M14,Headcount!$N14,0)</f>
        <v>13725</v>
      </c>
      <c r="U18" s="17" t="n">
        <f aca="false">IF(U$4&gt;=Headcount!$M14,Headcount!$N14,0)</f>
        <v>13725</v>
      </c>
      <c r="V18" s="17" t="n">
        <f aca="false">IF(V$4&gt;=Headcount!$M14,Headcount!$N14,0)</f>
        <v>13725</v>
      </c>
      <c r="W18" s="17" t="n">
        <f aca="false">IF(W$4&gt;=Headcount!$M14,Headcount!$N14,0)</f>
        <v>13725</v>
      </c>
      <c r="X18" s="17" t="n">
        <f aca="false">IF(X$4&gt;=Headcount!$M14,Headcount!$N14,0)</f>
        <v>13725</v>
      </c>
      <c r="Y18" s="17" t="n">
        <f aca="false">IF(Y$4&gt;=Headcount!$M14,Headcount!$N14,0)</f>
        <v>13725</v>
      </c>
      <c r="Z18" s="17" t="n">
        <f aca="false">IF(Z$4&gt;=Headcount!$M14,Headcount!$N14,0)</f>
        <v>13725</v>
      </c>
      <c r="AA18" s="17" t="n">
        <f aca="false">IF(AA$4&gt;=Headcount!$M14,Headcount!$N14,0)</f>
        <v>13725</v>
      </c>
      <c r="AB18" s="17" t="n">
        <f aca="false">IF(AB$4&gt;=Headcount!$M14,Headcount!$N14,0)</f>
        <v>13725</v>
      </c>
      <c r="AC18" s="17" t="n">
        <f aca="false">IF(AC$4&gt;=Headcount!$M14,Headcount!$N14,0)</f>
        <v>13725</v>
      </c>
      <c r="AD18" s="17" t="n">
        <f aca="false">IF(AD$4&gt;=Headcount!$M14,Headcount!$N14,0)</f>
        <v>13725</v>
      </c>
      <c r="AE18" s="17" t="n">
        <f aca="false">IF(AE$4&gt;=Headcount!$M14,Headcount!$N14,0)</f>
        <v>13725</v>
      </c>
      <c r="AF18" s="17" t="n">
        <f aca="false">IF(AF$4&gt;=Headcount!$M14,Headcount!$N14,0)</f>
        <v>13725</v>
      </c>
      <c r="AG18" s="17" t="n">
        <f aca="false">IF(AG$4&gt;=Headcount!$M14,Headcount!$N14,0)</f>
        <v>13725</v>
      </c>
      <c r="AH18" s="17" t="n">
        <f aca="false">IF(AH$4&gt;=Headcount!$M14,Headcount!$N14,0)</f>
        <v>13725</v>
      </c>
      <c r="AI18" s="17" t="n">
        <f aca="false">IF(AI$4&gt;=Headcount!$M14,Headcount!$N14,0)</f>
        <v>13725</v>
      </c>
      <c r="AJ18" s="17" t="n">
        <f aca="false">IF(AJ$4&gt;=Headcount!$M14,Headcount!$N14,0)</f>
        <v>13725</v>
      </c>
      <c r="AK18" s="17" t="n">
        <f aca="false">IF(AK$4&gt;=Headcount!$M14,Headcount!$N14,0)</f>
        <v>13725</v>
      </c>
      <c r="AL18" s="17" t="n">
        <f aca="false">IF(AL$4&gt;=Headcount!$M14,Headcount!$N14,0)</f>
        <v>13725</v>
      </c>
      <c r="AM18" s="17" t="n">
        <f aca="false">IF(AM$4&gt;=Headcount!$M14,Headcount!$N14,0)</f>
        <v>13725</v>
      </c>
      <c r="AN18" s="17" t="n">
        <f aca="false">IF(AN$4&gt;=Headcount!$M14,Headcount!$N14,0)</f>
        <v>13725</v>
      </c>
      <c r="AO18" s="17" t="n">
        <f aca="false">IF(AO$4&gt;=Headcount!$M14,Headcount!$N14,0)</f>
        <v>13725</v>
      </c>
    </row>
    <row r="19" customFormat="false" ht="15" hidden="false" customHeight="false" outlineLevel="0" collapsed="false">
      <c r="A19" s="24" t="str">
        <f aca="false">Headcount!B15</f>
        <v>Test &amp; Instrumentation Engineer 2</v>
      </c>
      <c r="B19" s="24" t="str">
        <f aca="false">Headcount!D15</f>
        <v>EnergyWave, Inc.</v>
      </c>
      <c r="C19" s="24" t="str">
        <f aca="false">IF(Headcount!E15="W-2","Payroll","Consulting")</f>
        <v>Payroll</v>
      </c>
      <c r="D19" s="24" t="str">
        <f aca="false">IF(Headcount!E15="W-2","Salary &amp; load","Consulting fee")</f>
        <v>Salary &amp; load</v>
      </c>
      <c r="E19" s="30" t="n">
        <f aca="false">SUM(F19:AO19)</f>
        <v>452925</v>
      </c>
      <c r="F19" s="17" t="n">
        <f aca="false">IF(F$4&gt;=Headcount!$M15,Headcount!$N15,0)</f>
        <v>0</v>
      </c>
      <c r="G19" s="17" t="n">
        <f aca="false">IF(G$4&gt;=Headcount!$M15,Headcount!$N15,0)</f>
        <v>0</v>
      </c>
      <c r="H19" s="17" t="n">
        <f aca="false">IF(H$4&gt;=Headcount!$M15,Headcount!$N15,0)</f>
        <v>0</v>
      </c>
      <c r="I19" s="17" t="n">
        <f aca="false">IF(I$4&gt;=Headcount!$M15,Headcount!$N15,0)</f>
        <v>13725</v>
      </c>
      <c r="J19" s="17" t="n">
        <f aca="false">IF(J$4&gt;=Headcount!$M15,Headcount!$N15,0)</f>
        <v>13725</v>
      </c>
      <c r="K19" s="17" t="n">
        <f aca="false">IF(K$4&gt;=Headcount!$M15,Headcount!$N15,0)</f>
        <v>13725</v>
      </c>
      <c r="L19" s="17" t="n">
        <f aca="false">IF(L$4&gt;=Headcount!$M15,Headcount!$N15,0)</f>
        <v>13725</v>
      </c>
      <c r="M19" s="17" t="n">
        <f aca="false">IF(M$4&gt;=Headcount!$M15,Headcount!$N15,0)</f>
        <v>13725</v>
      </c>
      <c r="N19" s="17" t="n">
        <f aca="false">IF(N$4&gt;=Headcount!$M15,Headcount!$N15,0)</f>
        <v>13725</v>
      </c>
      <c r="O19" s="17" t="n">
        <f aca="false">IF(O$4&gt;=Headcount!$M15,Headcount!$N15,0)</f>
        <v>13725</v>
      </c>
      <c r="P19" s="17" t="n">
        <f aca="false">IF(P$4&gt;=Headcount!$M15,Headcount!$N15,0)</f>
        <v>13725</v>
      </c>
      <c r="Q19" s="17" t="n">
        <f aca="false">IF(Q$4&gt;=Headcount!$M15,Headcount!$N15,0)</f>
        <v>13725</v>
      </c>
      <c r="R19" s="17" t="n">
        <f aca="false">IF(R$4&gt;=Headcount!$M15,Headcount!$N15,0)</f>
        <v>13725</v>
      </c>
      <c r="S19" s="17" t="n">
        <f aca="false">IF(S$4&gt;=Headcount!$M15,Headcount!$N15,0)</f>
        <v>13725</v>
      </c>
      <c r="T19" s="17" t="n">
        <f aca="false">IF(T$4&gt;=Headcount!$M15,Headcount!$N15,0)</f>
        <v>13725</v>
      </c>
      <c r="U19" s="17" t="n">
        <f aca="false">IF(U$4&gt;=Headcount!$M15,Headcount!$N15,0)</f>
        <v>13725</v>
      </c>
      <c r="V19" s="17" t="n">
        <f aca="false">IF(V$4&gt;=Headcount!$M15,Headcount!$N15,0)</f>
        <v>13725</v>
      </c>
      <c r="W19" s="17" t="n">
        <f aca="false">IF(W$4&gt;=Headcount!$M15,Headcount!$N15,0)</f>
        <v>13725</v>
      </c>
      <c r="X19" s="17" t="n">
        <f aca="false">IF(X$4&gt;=Headcount!$M15,Headcount!$N15,0)</f>
        <v>13725</v>
      </c>
      <c r="Y19" s="17" t="n">
        <f aca="false">IF(Y$4&gt;=Headcount!$M15,Headcount!$N15,0)</f>
        <v>13725</v>
      </c>
      <c r="Z19" s="17" t="n">
        <f aca="false">IF(Z$4&gt;=Headcount!$M15,Headcount!$N15,0)</f>
        <v>13725</v>
      </c>
      <c r="AA19" s="17" t="n">
        <f aca="false">IF(AA$4&gt;=Headcount!$M15,Headcount!$N15,0)</f>
        <v>13725</v>
      </c>
      <c r="AB19" s="17" t="n">
        <f aca="false">IF(AB$4&gt;=Headcount!$M15,Headcount!$N15,0)</f>
        <v>13725</v>
      </c>
      <c r="AC19" s="17" t="n">
        <f aca="false">IF(AC$4&gt;=Headcount!$M15,Headcount!$N15,0)</f>
        <v>13725</v>
      </c>
      <c r="AD19" s="17" t="n">
        <f aca="false">IF(AD$4&gt;=Headcount!$M15,Headcount!$N15,0)</f>
        <v>13725</v>
      </c>
      <c r="AE19" s="17" t="n">
        <f aca="false">IF(AE$4&gt;=Headcount!$M15,Headcount!$N15,0)</f>
        <v>13725</v>
      </c>
      <c r="AF19" s="17" t="n">
        <f aca="false">IF(AF$4&gt;=Headcount!$M15,Headcount!$N15,0)</f>
        <v>13725</v>
      </c>
      <c r="AG19" s="17" t="n">
        <f aca="false">IF(AG$4&gt;=Headcount!$M15,Headcount!$N15,0)</f>
        <v>13725</v>
      </c>
      <c r="AH19" s="17" t="n">
        <f aca="false">IF(AH$4&gt;=Headcount!$M15,Headcount!$N15,0)</f>
        <v>13725</v>
      </c>
      <c r="AI19" s="17" t="n">
        <f aca="false">IF(AI$4&gt;=Headcount!$M15,Headcount!$N15,0)</f>
        <v>13725</v>
      </c>
      <c r="AJ19" s="17" t="n">
        <f aca="false">IF(AJ$4&gt;=Headcount!$M15,Headcount!$N15,0)</f>
        <v>13725</v>
      </c>
      <c r="AK19" s="17" t="n">
        <f aca="false">IF(AK$4&gt;=Headcount!$M15,Headcount!$N15,0)</f>
        <v>13725</v>
      </c>
      <c r="AL19" s="17" t="n">
        <f aca="false">IF(AL$4&gt;=Headcount!$M15,Headcount!$N15,0)</f>
        <v>13725</v>
      </c>
      <c r="AM19" s="17" t="n">
        <f aca="false">IF(AM$4&gt;=Headcount!$M15,Headcount!$N15,0)</f>
        <v>13725</v>
      </c>
      <c r="AN19" s="17" t="n">
        <f aca="false">IF(AN$4&gt;=Headcount!$M15,Headcount!$N15,0)</f>
        <v>13725</v>
      </c>
      <c r="AO19" s="17" t="n">
        <f aca="false">IF(AO$4&gt;=Headcount!$M15,Headcount!$N15,0)</f>
        <v>13725</v>
      </c>
    </row>
    <row r="20" customFormat="false" ht="15" hidden="false" customHeight="false" outlineLevel="0" collapsed="false">
      <c r="A20" s="24" t="str">
        <f aca="false">Headcount!B16</f>
        <v>Additive Manufacturing Engineer</v>
      </c>
      <c r="B20" s="24" t="str">
        <f aca="false">Headcount!D16</f>
        <v>EnergyWave, Inc.</v>
      </c>
      <c r="C20" s="24" t="str">
        <f aca="false">IF(Headcount!E16="W-2","Payroll","Consulting")</f>
        <v>Payroll</v>
      </c>
      <c r="D20" s="24" t="str">
        <f aca="false">IF(Headcount!E16="W-2","Salary &amp; load","Consulting fee")</f>
        <v>Salary &amp; load</v>
      </c>
      <c r="E20" s="30" t="n">
        <f aca="false">SUM(F20:AO20)</f>
        <v>483933.333333333</v>
      </c>
      <c r="F20" s="17" t="n">
        <f aca="false">IF(F$4&gt;=Headcount!$M16,Headcount!$N16,0)</f>
        <v>0</v>
      </c>
      <c r="G20" s="17" t="n">
        <f aca="false">IF(G$4&gt;=Headcount!$M16,Headcount!$N16,0)</f>
        <v>0</v>
      </c>
      <c r="H20" s="17" t="n">
        <f aca="false">IF(H$4&gt;=Headcount!$M16,Headcount!$N16,0)</f>
        <v>14233.3333333333</v>
      </c>
      <c r="I20" s="17" t="n">
        <f aca="false">IF(I$4&gt;=Headcount!$M16,Headcount!$N16,0)</f>
        <v>14233.3333333333</v>
      </c>
      <c r="J20" s="17" t="n">
        <f aca="false">IF(J$4&gt;=Headcount!$M16,Headcount!$N16,0)</f>
        <v>14233.3333333333</v>
      </c>
      <c r="K20" s="17" t="n">
        <f aca="false">IF(K$4&gt;=Headcount!$M16,Headcount!$N16,0)</f>
        <v>14233.3333333333</v>
      </c>
      <c r="L20" s="17" t="n">
        <f aca="false">IF(L$4&gt;=Headcount!$M16,Headcount!$N16,0)</f>
        <v>14233.3333333333</v>
      </c>
      <c r="M20" s="17" t="n">
        <f aca="false">IF(M$4&gt;=Headcount!$M16,Headcount!$N16,0)</f>
        <v>14233.3333333333</v>
      </c>
      <c r="N20" s="17" t="n">
        <f aca="false">IF(N$4&gt;=Headcount!$M16,Headcount!$N16,0)</f>
        <v>14233.3333333333</v>
      </c>
      <c r="O20" s="17" t="n">
        <f aca="false">IF(O$4&gt;=Headcount!$M16,Headcount!$N16,0)</f>
        <v>14233.3333333333</v>
      </c>
      <c r="P20" s="17" t="n">
        <f aca="false">IF(P$4&gt;=Headcount!$M16,Headcount!$N16,0)</f>
        <v>14233.3333333333</v>
      </c>
      <c r="Q20" s="17" t="n">
        <f aca="false">IF(Q$4&gt;=Headcount!$M16,Headcount!$N16,0)</f>
        <v>14233.3333333333</v>
      </c>
      <c r="R20" s="17" t="n">
        <f aca="false">IF(R$4&gt;=Headcount!$M16,Headcount!$N16,0)</f>
        <v>14233.3333333333</v>
      </c>
      <c r="S20" s="17" t="n">
        <f aca="false">IF(S$4&gt;=Headcount!$M16,Headcount!$N16,0)</f>
        <v>14233.3333333333</v>
      </c>
      <c r="T20" s="17" t="n">
        <f aca="false">IF(T$4&gt;=Headcount!$M16,Headcount!$N16,0)</f>
        <v>14233.3333333333</v>
      </c>
      <c r="U20" s="17" t="n">
        <f aca="false">IF(U$4&gt;=Headcount!$M16,Headcount!$N16,0)</f>
        <v>14233.3333333333</v>
      </c>
      <c r="V20" s="17" t="n">
        <f aca="false">IF(V$4&gt;=Headcount!$M16,Headcount!$N16,0)</f>
        <v>14233.3333333333</v>
      </c>
      <c r="W20" s="17" t="n">
        <f aca="false">IF(W$4&gt;=Headcount!$M16,Headcount!$N16,0)</f>
        <v>14233.3333333333</v>
      </c>
      <c r="X20" s="17" t="n">
        <f aca="false">IF(X$4&gt;=Headcount!$M16,Headcount!$N16,0)</f>
        <v>14233.3333333333</v>
      </c>
      <c r="Y20" s="17" t="n">
        <f aca="false">IF(Y$4&gt;=Headcount!$M16,Headcount!$N16,0)</f>
        <v>14233.3333333333</v>
      </c>
      <c r="Z20" s="17" t="n">
        <f aca="false">IF(Z$4&gt;=Headcount!$M16,Headcount!$N16,0)</f>
        <v>14233.3333333333</v>
      </c>
      <c r="AA20" s="17" t="n">
        <f aca="false">IF(AA$4&gt;=Headcount!$M16,Headcount!$N16,0)</f>
        <v>14233.3333333333</v>
      </c>
      <c r="AB20" s="17" t="n">
        <f aca="false">IF(AB$4&gt;=Headcount!$M16,Headcount!$N16,0)</f>
        <v>14233.3333333333</v>
      </c>
      <c r="AC20" s="17" t="n">
        <f aca="false">IF(AC$4&gt;=Headcount!$M16,Headcount!$N16,0)</f>
        <v>14233.3333333333</v>
      </c>
      <c r="AD20" s="17" t="n">
        <f aca="false">IF(AD$4&gt;=Headcount!$M16,Headcount!$N16,0)</f>
        <v>14233.3333333333</v>
      </c>
      <c r="AE20" s="17" t="n">
        <f aca="false">IF(AE$4&gt;=Headcount!$M16,Headcount!$N16,0)</f>
        <v>14233.3333333333</v>
      </c>
      <c r="AF20" s="17" t="n">
        <f aca="false">IF(AF$4&gt;=Headcount!$M16,Headcount!$N16,0)</f>
        <v>14233.3333333333</v>
      </c>
      <c r="AG20" s="17" t="n">
        <f aca="false">IF(AG$4&gt;=Headcount!$M16,Headcount!$N16,0)</f>
        <v>14233.3333333333</v>
      </c>
      <c r="AH20" s="17" t="n">
        <f aca="false">IF(AH$4&gt;=Headcount!$M16,Headcount!$N16,0)</f>
        <v>14233.3333333333</v>
      </c>
      <c r="AI20" s="17" t="n">
        <f aca="false">IF(AI$4&gt;=Headcount!$M16,Headcount!$N16,0)</f>
        <v>14233.3333333333</v>
      </c>
      <c r="AJ20" s="17" t="n">
        <f aca="false">IF(AJ$4&gt;=Headcount!$M16,Headcount!$N16,0)</f>
        <v>14233.3333333333</v>
      </c>
      <c r="AK20" s="17" t="n">
        <f aca="false">IF(AK$4&gt;=Headcount!$M16,Headcount!$N16,0)</f>
        <v>14233.3333333333</v>
      </c>
      <c r="AL20" s="17" t="n">
        <f aca="false">IF(AL$4&gt;=Headcount!$M16,Headcount!$N16,0)</f>
        <v>14233.3333333333</v>
      </c>
      <c r="AM20" s="17" t="n">
        <f aca="false">IF(AM$4&gt;=Headcount!$M16,Headcount!$N16,0)</f>
        <v>14233.3333333333</v>
      </c>
      <c r="AN20" s="17" t="n">
        <f aca="false">IF(AN$4&gt;=Headcount!$M16,Headcount!$N16,0)</f>
        <v>14233.3333333333</v>
      </c>
      <c r="AO20" s="17" t="n">
        <f aca="false">IF(AO$4&gt;=Headcount!$M16,Headcount!$N16,0)</f>
        <v>14233.3333333333</v>
      </c>
    </row>
    <row r="21" customFormat="false" ht="15" hidden="false" customHeight="false" outlineLevel="0" collapsed="false">
      <c r="A21" s="24" t="str">
        <f aca="false">Headcount!B17</f>
        <v>Software / Algorithms Engineer</v>
      </c>
      <c r="B21" s="24" t="str">
        <f aca="false">Headcount!D17</f>
        <v>EnergyWave, Inc.</v>
      </c>
      <c r="C21" s="24" t="str">
        <f aca="false">IF(Headcount!E17="W-2","Payroll","Consulting")</f>
        <v>Payroll</v>
      </c>
      <c r="D21" s="24" t="str">
        <f aca="false">IF(Headcount!E17="W-2","Salary &amp; load","Consulting fee")</f>
        <v>Salary &amp; load</v>
      </c>
      <c r="E21" s="30" t="n">
        <f aca="false">SUM(F21:AO21)</f>
        <v>553066.666666667</v>
      </c>
      <c r="F21" s="17" t="n">
        <f aca="false">IF(F$4&gt;=Headcount!$M17,Headcount!$N17,0)</f>
        <v>0</v>
      </c>
      <c r="G21" s="17" t="n">
        <f aca="false">IF(G$4&gt;=Headcount!$M17,Headcount!$N17,0)</f>
        <v>0</v>
      </c>
      <c r="H21" s="17" t="n">
        <f aca="false">IF(H$4&gt;=Headcount!$M17,Headcount!$N17,0)</f>
        <v>16266.6666666667</v>
      </c>
      <c r="I21" s="17" t="n">
        <f aca="false">IF(I$4&gt;=Headcount!$M17,Headcount!$N17,0)</f>
        <v>16266.6666666667</v>
      </c>
      <c r="J21" s="17" t="n">
        <f aca="false">IF(J$4&gt;=Headcount!$M17,Headcount!$N17,0)</f>
        <v>16266.6666666667</v>
      </c>
      <c r="K21" s="17" t="n">
        <f aca="false">IF(K$4&gt;=Headcount!$M17,Headcount!$N17,0)</f>
        <v>16266.6666666667</v>
      </c>
      <c r="L21" s="17" t="n">
        <f aca="false">IF(L$4&gt;=Headcount!$M17,Headcount!$N17,0)</f>
        <v>16266.6666666667</v>
      </c>
      <c r="M21" s="17" t="n">
        <f aca="false">IF(M$4&gt;=Headcount!$M17,Headcount!$N17,0)</f>
        <v>16266.6666666667</v>
      </c>
      <c r="N21" s="17" t="n">
        <f aca="false">IF(N$4&gt;=Headcount!$M17,Headcount!$N17,0)</f>
        <v>16266.6666666667</v>
      </c>
      <c r="O21" s="17" t="n">
        <f aca="false">IF(O$4&gt;=Headcount!$M17,Headcount!$N17,0)</f>
        <v>16266.6666666667</v>
      </c>
      <c r="P21" s="17" t="n">
        <f aca="false">IF(P$4&gt;=Headcount!$M17,Headcount!$N17,0)</f>
        <v>16266.6666666667</v>
      </c>
      <c r="Q21" s="17" t="n">
        <f aca="false">IF(Q$4&gt;=Headcount!$M17,Headcount!$N17,0)</f>
        <v>16266.6666666667</v>
      </c>
      <c r="R21" s="17" t="n">
        <f aca="false">IF(R$4&gt;=Headcount!$M17,Headcount!$N17,0)</f>
        <v>16266.6666666667</v>
      </c>
      <c r="S21" s="17" t="n">
        <f aca="false">IF(S$4&gt;=Headcount!$M17,Headcount!$N17,0)</f>
        <v>16266.6666666667</v>
      </c>
      <c r="T21" s="17" t="n">
        <f aca="false">IF(T$4&gt;=Headcount!$M17,Headcount!$N17,0)</f>
        <v>16266.6666666667</v>
      </c>
      <c r="U21" s="17" t="n">
        <f aca="false">IF(U$4&gt;=Headcount!$M17,Headcount!$N17,0)</f>
        <v>16266.6666666667</v>
      </c>
      <c r="V21" s="17" t="n">
        <f aca="false">IF(V$4&gt;=Headcount!$M17,Headcount!$N17,0)</f>
        <v>16266.6666666667</v>
      </c>
      <c r="W21" s="17" t="n">
        <f aca="false">IF(W$4&gt;=Headcount!$M17,Headcount!$N17,0)</f>
        <v>16266.6666666667</v>
      </c>
      <c r="X21" s="17" t="n">
        <f aca="false">IF(X$4&gt;=Headcount!$M17,Headcount!$N17,0)</f>
        <v>16266.6666666667</v>
      </c>
      <c r="Y21" s="17" t="n">
        <f aca="false">IF(Y$4&gt;=Headcount!$M17,Headcount!$N17,0)</f>
        <v>16266.6666666667</v>
      </c>
      <c r="Z21" s="17" t="n">
        <f aca="false">IF(Z$4&gt;=Headcount!$M17,Headcount!$N17,0)</f>
        <v>16266.6666666667</v>
      </c>
      <c r="AA21" s="17" t="n">
        <f aca="false">IF(AA$4&gt;=Headcount!$M17,Headcount!$N17,0)</f>
        <v>16266.6666666667</v>
      </c>
      <c r="AB21" s="17" t="n">
        <f aca="false">IF(AB$4&gt;=Headcount!$M17,Headcount!$N17,0)</f>
        <v>16266.6666666667</v>
      </c>
      <c r="AC21" s="17" t="n">
        <f aca="false">IF(AC$4&gt;=Headcount!$M17,Headcount!$N17,0)</f>
        <v>16266.6666666667</v>
      </c>
      <c r="AD21" s="17" t="n">
        <f aca="false">IF(AD$4&gt;=Headcount!$M17,Headcount!$N17,0)</f>
        <v>16266.6666666667</v>
      </c>
      <c r="AE21" s="17" t="n">
        <f aca="false">IF(AE$4&gt;=Headcount!$M17,Headcount!$N17,0)</f>
        <v>16266.6666666667</v>
      </c>
      <c r="AF21" s="17" t="n">
        <f aca="false">IF(AF$4&gt;=Headcount!$M17,Headcount!$N17,0)</f>
        <v>16266.6666666667</v>
      </c>
      <c r="AG21" s="17" t="n">
        <f aca="false">IF(AG$4&gt;=Headcount!$M17,Headcount!$N17,0)</f>
        <v>16266.6666666667</v>
      </c>
      <c r="AH21" s="17" t="n">
        <f aca="false">IF(AH$4&gt;=Headcount!$M17,Headcount!$N17,0)</f>
        <v>16266.6666666667</v>
      </c>
      <c r="AI21" s="17" t="n">
        <f aca="false">IF(AI$4&gt;=Headcount!$M17,Headcount!$N17,0)</f>
        <v>16266.6666666667</v>
      </c>
      <c r="AJ21" s="17" t="n">
        <f aca="false">IF(AJ$4&gt;=Headcount!$M17,Headcount!$N17,0)</f>
        <v>16266.6666666667</v>
      </c>
      <c r="AK21" s="17" t="n">
        <f aca="false">IF(AK$4&gt;=Headcount!$M17,Headcount!$N17,0)</f>
        <v>16266.6666666667</v>
      </c>
      <c r="AL21" s="17" t="n">
        <f aca="false">IF(AL$4&gt;=Headcount!$M17,Headcount!$N17,0)</f>
        <v>16266.6666666667</v>
      </c>
      <c r="AM21" s="17" t="n">
        <f aca="false">IF(AM$4&gt;=Headcount!$M17,Headcount!$N17,0)</f>
        <v>16266.6666666667</v>
      </c>
      <c r="AN21" s="17" t="n">
        <f aca="false">IF(AN$4&gt;=Headcount!$M17,Headcount!$N17,0)</f>
        <v>16266.6666666667</v>
      </c>
      <c r="AO21" s="17" t="n">
        <f aca="false">IF(AO$4&gt;=Headcount!$M17,Headcount!$N17,0)</f>
        <v>16266.6666666667</v>
      </c>
    </row>
    <row r="22" customFormat="false" ht="15" hidden="false" customHeight="false" outlineLevel="0" collapsed="false">
      <c r="A22" s="24" t="str">
        <f aca="false">Headcount!B18</f>
        <v>Lab Technician</v>
      </c>
      <c r="B22" s="24" t="str">
        <f aca="false">Headcount!D18</f>
        <v>EnergyWave, Inc.</v>
      </c>
      <c r="C22" s="24" t="str">
        <f aca="false">IF(Headcount!E18="W-2","Payroll","Consulting")</f>
        <v>Payroll</v>
      </c>
      <c r="D22" s="24" t="str">
        <f aca="false">IF(Headcount!E18="W-2","Salary &amp; load","Consulting fee")</f>
        <v>Salary &amp; load</v>
      </c>
      <c r="E22" s="30" t="n">
        <f aca="false">SUM(F22:AO22)</f>
        <v>285175</v>
      </c>
      <c r="F22" s="17" t="n">
        <f aca="false">IF(F$4&gt;=Headcount!$M18,Headcount!$N18,0)</f>
        <v>0</v>
      </c>
      <c r="G22" s="17" t="n">
        <f aca="false">IF(G$4&gt;=Headcount!$M18,Headcount!$N18,0)</f>
        <v>0</v>
      </c>
      <c r="H22" s="17" t="n">
        <f aca="false">IF(H$4&gt;=Headcount!$M18,Headcount!$N18,0)</f>
        <v>0</v>
      </c>
      <c r="I22" s="17" t="n">
        <f aca="false">IF(I$4&gt;=Headcount!$M18,Headcount!$N18,0)</f>
        <v>8641.66666666667</v>
      </c>
      <c r="J22" s="17" t="n">
        <f aca="false">IF(J$4&gt;=Headcount!$M18,Headcount!$N18,0)</f>
        <v>8641.66666666667</v>
      </c>
      <c r="K22" s="17" t="n">
        <f aca="false">IF(K$4&gt;=Headcount!$M18,Headcount!$N18,0)</f>
        <v>8641.66666666667</v>
      </c>
      <c r="L22" s="17" t="n">
        <f aca="false">IF(L$4&gt;=Headcount!$M18,Headcount!$N18,0)</f>
        <v>8641.66666666667</v>
      </c>
      <c r="M22" s="17" t="n">
        <f aca="false">IF(M$4&gt;=Headcount!$M18,Headcount!$N18,0)</f>
        <v>8641.66666666667</v>
      </c>
      <c r="N22" s="17" t="n">
        <f aca="false">IF(N$4&gt;=Headcount!$M18,Headcount!$N18,0)</f>
        <v>8641.66666666667</v>
      </c>
      <c r="O22" s="17" t="n">
        <f aca="false">IF(O$4&gt;=Headcount!$M18,Headcount!$N18,0)</f>
        <v>8641.66666666667</v>
      </c>
      <c r="P22" s="17" t="n">
        <f aca="false">IF(P$4&gt;=Headcount!$M18,Headcount!$N18,0)</f>
        <v>8641.66666666667</v>
      </c>
      <c r="Q22" s="17" t="n">
        <f aca="false">IF(Q$4&gt;=Headcount!$M18,Headcount!$N18,0)</f>
        <v>8641.66666666667</v>
      </c>
      <c r="R22" s="17" t="n">
        <f aca="false">IF(R$4&gt;=Headcount!$M18,Headcount!$N18,0)</f>
        <v>8641.66666666667</v>
      </c>
      <c r="S22" s="17" t="n">
        <f aca="false">IF(S$4&gt;=Headcount!$M18,Headcount!$N18,0)</f>
        <v>8641.66666666667</v>
      </c>
      <c r="T22" s="17" t="n">
        <f aca="false">IF(T$4&gt;=Headcount!$M18,Headcount!$N18,0)</f>
        <v>8641.66666666667</v>
      </c>
      <c r="U22" s="17" t="n">
        <f aca="false">IF(U$4&gt;=Headcount!$M18,Headcount!$N18,0)</f>
        <v>8641.66666666667</v>
      </c>
      <c r="V22" s="17" t="n">
        <f aca="false">IF(V$4&gt;=Headcount!$M18,Headcount!$N18,0)</f>
        <v>8641.66666666667</v>
      </c>
      <c r="W22" s="17" t="n">
        <f aca="false">IF(W$4&gt;=Headcount!$M18,Headcount!$N18,0)</f>
        <v>8641.66666666667</v>
      </c>
      <c r="X22" s="17" t="n">
        <f aca="false">IF(X$4&gt;=Headcount!$M18,Headcount!$N18,0)</f>
        <v>8641.66666666667</v>
      </c>
      <c r="Y22" s="17" t="n">
        <f aca="false">IF(Y$4&gt;=Headcount!$M18,Headcount!$N18,0)</f>
        <v>8641.66666666667</v>
      </c>
      <c r="Z22" s="17" t="n">
        <f aca="false">IF(Z$4&gt;=Headcount!$M18,Headcount!$N18,0)</f>
        <v>8641.66666666667</v>
      </c>
      <c r="AA22" s="17" t="n">
        <f aca="false">IF(AA$4&gt;=Headcount!$M18,Headcount!$N18,0)</f>
        <v>8641.66666666667</v>
      </c>
      <c r="AB22" s="17" t="n">
        <f aca="false">IF(AB$4&gt;=Headcount!$M18,Headcount!$N18,0)</f>
        <v>8641.66666666667</v>
      </c>
      <c r="AC22" s="17" t="n">
        <f aca="false">IF(AC$4&gt;=Headcount!$M18,Headcount!$N18,0)</f>
        <v>8641.66666666667</v>
      </c>
      <c r="AD22" s="17" t="n">
        <f aca="false">IF(AD$4&gt;=Headcount!$M18,Headcount!$N18,0)</f>
        <v>8641.66666666667</v>
      </c>
      <c r="AE22" s="17" t="n">
        <f aca="false">IF(AE$4&gt;=Headcount!$M18,Headcount!$N18,0)</f>
        <v>8641.66666666667</v>
      </c>
      <c r="AF22" s="17" t="n">
        <f aca="false">IF(AF$4&gt;=Headcount!$M18,Headcount!$N18,0)</f>
        <v>8641.66666666667</v>
      </c>
      <c r="AG22" s="17" t="n">
        <f aca="false">IF(AG$4&gt;=Headcount!$M18,Headcount!$N18,0)</f>
        <v>8641.66666666667</v>
      </c>
      <c r="AH22" s="17" t="n">
        <f aca="false">IF(AH$4&gt;=Headcount!$M18,Headcount!$N18,0)</f>
        <v>8641.66666666667</v>
      </c>
      <c r="AI22" s="17" t="n">
        <f aca="false">IF(AI$4&gt;=Headcount!$M18,Headcount!$N18,0)</f>
        <v>8641.66666666667</v>
      </c>
      <c r="AJ22" s="17" t="n">
        <f aca="false">IF(AJ$4&gt;=Headcount!$M18,Headcount!$N18,0)</f>
        <v>8641.66666666667</v>
      </c>
      <c r="AK22" s="17" t="n">
        <f aca="false">IF(AK$4&gt;=Headcount!$M18,Headcount!$N18,0)</f>
        <v>8641.66666666667</v>
      </c>
      <c r="AL22" s="17" t="n">
        <f aca="false">IF(AL$4&gt;=Headcount!$M18,Headcount!$N18,0)</f>
        <v>8641.66666666667</v>
      </c>
      <c r="AM22" s="17" t="n">
        <f aca="false">IF(AM$4&gt;=Headcount!$M18,Headcount!$N18,0)</f>
        <v>8641.66666666667</v>
      </c>
      <c r="AN22" s="17" t="n">
        <f aca="false">IF(AN$4&gt;=Headcount!$M18,Headcount!$N18,0)</f>
        <v>8641.66666666667</v>
      </c>
      <c r="AO22" s="17" t="n">
        <f aca="false">IF(AO$4&gt;=Headcount!$M18,Headcount!$N18,0)</f>
        <v>8641.66666666667</v>
      </c>
    </row>
    <row r="23" customFormat="false" ht="15" hidden="false" customHeight="false" outlineLevel="0" collapsed="false">
      <c r="A23" s="24" t="str">
        <f aca="false">Headcount!B19</f>
        <v>Executive Assistant</v>
      </c>
      <c r="B23" s="24" t="str">
        <f aca="false">Headcount!D19</f>
        <v>EnergyWave, Inc.</v>
      </c>
      <c r="C23" s="24" t="str">
        <f aca="false">IF(Headcount!E19="W-2","Payroll","Consulting")</f>
        <v>Payroll</v>
      </c>
      <c r="D23" s="24" t="str">
        <f aca="false">IF(Headcount!E19="W-2","Salary &amp; load","Consulting fee")</f>
        <v>Salary &amp; load</v>
      </c>
      <c r="E23" s="30" t="n">
        <f aca="false">SUM(F23:AO23)</f>
        <v>311100</v>
      </c>
      <c r="F23" s="17" t="n">
        <f aca="false">IF(F$4&gt;=Headcount!$M19,Headcount!$N19,0)</f>
        <v>8641.66666666667</v>
      </c>
      <c r="G23" s="17" t="n">
        <f aca="false">IF(G$4&gt;=Headcount!$M19,Headcount!$N19,0)</f>
        <v>8641.66666666667</v>
      </c>
      <c r="H23" s="17" t="n">
        <f aca="false">IF(H$4&gt;=Headcount!$M19,Headcount!$N19,0)</f>
        <v>8641.66666666667</v>
      </c>
      <c r="I23" s="17" t="n">
        <f aca="false">IF(I$4&gt;=Headcount!$M19,Headcount!$N19,0)</f>
        <v>8641.66666666667</v>
      </c>
      <c r="J23" s="17" t="n">
        <f aca="false">IF(J$4&gt;=Headcount!$M19,Headcount!$N19,0)</f>
        <v>8641.66666666667</v>
      </c>
      <c r="K23" s="17" t="n">
        <f aca="false">IF(K$4&gt;=Headcount!$M19,Headcount!$N19,0)</f>
        <v>8641.66666666667</v>
      </c>
      <c r="L23" s="17" t="n">
        <f aca="false">IF(L$4&gt;=Headcount!$M19,Headcount!$N19,0)</f>
        <v>8641.66666666667</v>
      </c>
      <c r="M23" s="17" t="n">
        <f aca="false">IF(M$4&gt;=Headcount!$M19,Headcount!$N19,0)</f>
        <v>8641.66666666667</v>
      </c>
      <c r="N23" s="17" t="n">
        <f aca="false">IF(N$4&gt;=Headcount!$M19,Headcount!$N19,0)</f>
        <v>8641.66666666667</v>
      </c>
      <c r="O23" s="17" t="n">
        <f aca="false">IF(O$4&gt;=Headcount!$M19,Headcount!$N19,0)</f>
        <v>8641.66666666667</v>
      </c>
      <c r="P23" s="17" t="n">
        <f aca="false">IF(P$4&gt;=Headcount!$M19,Headcount!$N19,0)</f>
        <v>8641.66666666667</v>
      </c>
      <c r="Q23" s="17" t="n">
        <f aca="false">IF(Q$4&gt;=Headcount!$M19,Headcount!$N19,0)</f>
        <v>8641.66666666667</v>
      </c>
      <c r="R23" s="17" t="n">
        <f aca="false">IF(R$4&gt;=Headcount!$M19,Headcount!$N19,0)</f>
        <v>8641.66666666667</v>
      </c>
      <c r="S23" s="17" t="n">
        <f aca="false">IF(S$4&gt;=Headcount!$M19,Headcount!$N19,0)</f>
        <v>8641.66666666667</v>
      </c>
      <c r="T23" s="17" t="n">
        <f aca="false">IF(T$4&gt;=Headcount!$M19,Headcount!$N19,0)</f>
        <v>8641.66666666667</v>
      </c>
      <c r="U23" s="17" t="n">
        <f aca="false">IF(U$4&gt;=Headcount!$M19,Headcount!$N19,0)</f>
        <v>8641.66666666667</v>
      </c>
      <c r="V23" s="17" t="n">
        <f aca="false">IF(V$4&gt;=Headcount!$M19,Headcount!$N19,0)</f>
        <v>8641.66666666667</v>
      </c>
      <c r="W23" s="17" t="n">
        <f aca="false">IF(W$4&gt;=Headcount!$M19,Headcount!$N19,0)</f>
        <v>8641.66666666667</v>
      </c>
      <c r="X23" s="17" t="n">
        <f aca="false">IF(X$4&gt;=Headcount!$M19,Headcount!$N19,0)</f>
        <v>8641.66666666667</v>
      </c>
      <c r="Y23" s="17" t="n">
        <f aca="false">IF(Y$4&gt;=Headcount!$M19,Headcount!$N19,0)</f>
        <v>8641.66666666667</v>
      </c>
      <c r="Z23" s="17" t="n">
        <f aca="false">IF(Z$4&gt;=Headcount!$M19,Headcount!$N19,0)</f>
        <v>8641.66666666667</v>
      </c>
      <c r="AA23" s="17" t="n">
        <f aca="false">IF(AA$4&gt;=Headcount!$M19,Headcount!$N19,0)</f>
        <v>8641.66666666667</v>
      </c>
      <c r="AB23" s="17" t="n">
        <f aca="false">IF(AB$4&gt;=Headcount!$M19,Headcount!$N19,0)</f>
        <v>8641.66666666667</v>
      </c>
      <c r="AC23" s="17" t="n">
        <f aca="false">IF(AC$4&gt;=Headcount!$M19,Headcount!$N19,0)</f>
        <v>8641.66666666667</v>
      </c>
      <c r="AD23" s="17" t="n">
        <f aca="false">IF(AD$4&gt;=Headcount!$M19,Headcount!$N19,0)</f>
        <v>8641.66666666667</v>
      </c>
      <c r="AE23" s="17" t="n">
        <f aca="false">IF(AE$4&gt;=Headcount!$M19,Headcount!$N19,0)</f>
        <v>8641.66666666667</v>
      </c>
      <c r="AF23" s="17" t="n">
        <f aca="false">IF(AF$4&gt;=Headcount!$M19,Headcount!$N19,0)</f>
        <v>8641.66666666667</v>
      </c>
      <c r="AG23" s="17" t="n">
        <f aca="false">IF(AG$4&gt;=Headcount!$M19,Headcount!$N19,0)</f>
        <v>8641.66666666667</v>
      </c>
      <c r="AH23" s="17" t="n">
        <f aca="false">IF(AH$4&gt;=Headcount!$M19,Headcount!$N19,0)</f>
        <v>8641.66666666667</v>
      </c>
      <c r="AI23" s="17" t="n">
        <f aca="false">IF(AI$4&gt;=Headcount!$M19,Headcount!$N19,0)</f>
        <v>8641.66666666667</v>
      </c>
      <c r="AJ23" s="17" t="n">
        <f aca="false">IF(AJ$4&gt;=Headcount!$M19,Headcount!$N19,0)</f>
        <v>8641.66666666667</v>
      </c>
      <c r="AK23" s="17" t="n">
        <f aca="false">IF(AK$4&gt;=Headcount!$M19,Headcount!$N19,0)</f>
        <v>8641.66666666667</v>
      </c>
      <c r="AL23" s="17" t="n">
        <f aca="false">IF(AL$4&gt;=Headcount!$M19,Headcount!$N19,0)</f>
        <v>8641.66666666667</v>
      </c>
      <c r="AM23" s="17" t="n">
        <f aca="false">IF(AM$4&gt;=Headcount!$M19,Headcount!$N19,0)</f>
        <v>8641.66666666667</v>
      </c>
      <c r="AN23" s="17" t="n">
        <f aca="false">IF(AN$4&gt;=Headcount!$M19,Headcount!$N19,0)</f>
        <v>8641.66666666667</v>
      </c>
      <c r="AO23" s="17" t="n">
        <f aca="false">IF(AO$4&gt;=Headcount!$M19,Headcount!$N19,0)</f>
        <v>8641.66666666667</v>
      </c>
    </row>
    <row r="24" customFormat="false" ht="15" hidden="false" customHeight="false" outlineLevel="0" collapsed="false">
      <c r="A24" s="24" t="str">
        <f aca="false">Headcount!B20</f>
        <v>Office &amp; Operations Coordinator</v>
      </c>
      <c r="B24" s="24" t="str">
        <f aca="false">Headcount!D20</f>
        <v>EnergyWave, Inc.</v>
      </c>
      <c r="C24" s="24" t="str">
        <f aca="false">IF(Headcount!E20="W-2","Payroll","Consulting")</f>
        <v>Payroll</v>
      </c>
      <c r="D24" s="24" t="str">
        <f aca="false">IF(Headcount!E20="W-2","Salary &amp; load","Consulting fee")</f>
        <v>Salary &amp; load</v>
      </c>
      <c r="E24" s="30" t="n">
        <f aca="false">SUM(F24:AO24)</f>
        <v>249083.333333333</v>
      </c>
      <c r="F24" s="17" t="n">
        <f aca="false">IF(F$4&gt;=Headcount!$M20,Headcount!$N20,0)</f>
        <v>0</v>
      </c>
      <c r="G24" s="17" t="n">
        <f aca="false">IF(G$4&gt;=Headcount!$M20,Headcount!$N20,0)</f>
        <v>7116.66666666667</v>
      </c>
      <c r="H24" s="17" t="n">
        <f aca="false">IF(H$4&gt;=Headcount!$M20,Headcount!$N20,0)</f>
        <v>7116.66666666667</v>
      </c>
      <c r="I24" s="17" t="n">
        <f aca="false">IF(I$4&gt;=Headcount!$M20,Headcount!$N20,0)</f>
        <v>7116.66666666667</v>
      </c>
      <c r="J24" s="17" t="n">
        <f aca="false">IF(J$4&gt;=Headcount!$M20,Headcount!$N20,0)</f>
        <v>7116.66666666667</v>
      </c>
      <c r="K24" s="17" t="n">
        <f aca="false">IF(K$4&gt;=Headcount!$M20,Headcount!$N20,0)</f>
        <v>7116.66666666667</v>
      </c>
      <c r="L24" s="17" t="n">
        <f aca="false">IF(L$4&gt;=Headcount!$M20,Headcount!$N20,0)</f>
        <v>7116.66666666667</v>
      </c>
      <c r="M24" s="17" t="n">
        <f aca="false">IF(M$4&gt;=Headcount!$M20,Headcount!$N20,0)</f>
        <v>7116.66666666667</v>
      </c>
      <c r="N24" s="17" t="n">
        <f aca="false">IF(N$4&gt;=Headcount!$M20,Headcount!$N20,0)</f>
        <v>7116.66666666667</v>
      </c>
      <c r="O24" s="17" t="n">
        <f aca="false">IF(O$4&gt;=Headcount!$M20,Headcount!$N20,0)</f>
        <v>7116.66666666667</v>
      </c>
      <c r="P24" s="17" t="n">
        <f aca="false">IF(P$4&gt;=Headcount!$M20,Headcount!$N20,0)</f>
        <v>7116.66666666667</v>
      </c>
      <c r="Q24" s="17" t="n">
        <f aca="false">IF(Q$4&gt;=Headcount!$M20,Headcount!$N20,0)</f>
        <v>7116.66666666667</v>
      </c>
      <c r="R24" s="17" t="n">
        <f aca="false">IF(R$4&gt;=Headcount!$M20,Headcount!$N20,0)</f>
        <v>7116.66666666667</v>
      </c>
      <c r="S24" s="17" t="n">
        <f aca="false">IF(S$4&gt;=Headcount!$M20,Headcount!$N20,0)</f>
        <v>7116.66666666667</v>
      </c>
      <c r="T24" s="17" t="n">
        <f aca="false">IF(T$4&gt;=Headcount!$M20,Headcount!$N20,0)</f>
        <v>7116.66666666667</v>
      </c>
      <c r="U24" s="17" t="n">
        <f aca="false">IF(U$4&gt;=Headcount!$M20,Headcount!$N20,0)</f>
        <v>7116.66666666667</v>
      </c>
      <c r="V24" s="17" t="n">
        <f aca="false">IF(V$4&gt;=Headcount!$M20,Headcount!$N20,0)</f>
        <v>7116.66666666667</v>
      </c>
      <c r="W24" s="17" t="n">
        <f aca="false">IF(W$4&gt;=Headcount!$M20,Headcount!$N20,0)</f>
        <v>7116.66666666667</v>
      </c>
      <c r="X24" s="17" t="n">
        <f aca="false">IF(X$4&gt;=Headcount!$M20,Headcount!$N20,0)</f>
        <v>7116.66666666667</v>
      </c>
      <c r="Y24" s="17" t="n">
        <f aca="false">IF(Y$4&gt;=Headcount!$M20,Headcount!$N20,0)</f>
        <v>7116.66666666667</v>
      </c>
      <c r="Z24" s="17" t="n">
        <f aca="false">IF(Z$4&gt;=Headcount!$M20,Headcount!$N20,0)</f>
        <v>7116.66666666667</v>
      </c>
      <c r="AA24" s="17" t="n">
        <f aca="false">IF(AA$4&gt;=Headcount!$M20,Headcount!$N20,0)</f>
        <v>7116.66666666667</v>
      </c>
      <c r="AB24" s="17" t="n">
        <f aca="false">IF(AB$4&gt;=Headcount!$M20,Headcount!$N20,0)</f>
        <v>7116.66666666667</v>
      </c>
      <c r="AC24" s="17" t="n">
        <f aca="false">IF(AC$4&gt;=Headcount!$M20,Headcount!$N20,0)</f>
        <v>7116.66666666667</v>
      </c>
      <c r="AD24" s="17" t="n">
        <f aca="false">IF(AD$4&gt;=Headcount!$M20,Headcount!$N20,0)</f>
        <v>7116.66666666667</v>
      </c>
      <c r="AE24" s="17" t="n">
        <f aca="false">IF(AE$4&gt;=Headcount!$M20,Headcount!$N20,0)</f>
        <v>7116.66666666667</v>
      </c>
      <c r="AF24" s="17" t="n">
        <f aca="false">IF(AF$4&gt;=Headcount!$M20,Headcount!$N20,0)</f>
        <v>7116.66666666667</v>
      </c>
      <c r="AG24" s="17" t="n">
        <f aca="false">IF(AG$4&gt;=Headcount!$M20,Headcount!$N20,0)</f>
        <v>7116.66666666667</v>
      </c>
      <c r="AH24" s="17" t="n">
        <f aca="false">IF(AH$4&gt;=Headcount!$M20,Headcount!$N20,0)</f>
        <v>7116.66666666667</v>
      </c>
      <c r="AI24" s="17" t="n">
        <f aca="false">IF(AI$4&gt;=Headcount!$M20,Headcount!$N20,0)</f>
        <v>7116.66666666667</v>
      </c>
      <c r="AJ24" s="17" t="n">
        <f aca="false">IF(AJ$4&gt;=Headcount!$M20,Headcount!$N20,0)</f>
        <v>7116.66666666667</v>
      </c>
      <c r="AK24" s="17" t="n">
        <f aca="false">IF(AK$4&gt;=Headcount!$M20,Headcount!$N20,0)</f>
        <v>7116.66666666667</v>
      </c>
      <c r="AL24" s="17" t="n">
        <f aca="false">IF(AL$4&gt;=Headcount!$M20,Headcount!$N20,0)</f>
        <v>7116.66666666667</v>
      </c>
      <c r="AM24" s="17" t="n">
        <f aca="false">IF(AM$4&gt;=Headcount!$M20,Headcount!$N20,0)</f>
        <v>7116.66666666667</v>
      </c>
      <c r="AN24" s="17" t="n">
        <f aca="false">IF(AN$4&gt;=Headcount!$M20,Headcount!$N20,0)</f>
        <v>7116.66666666667</v>
      </c>
      <c r="AO24" s="17" t="n">
        <f aca="false">IF(AO$4&gt;=Headcount!$M20,Headcount!$N20,0)</f>
        <v>7116.66666666667</v>
      </c>
    </row>
    <row r="25" customFormat="false" ht="15" hidden="false" customHeight="false" outlineLevel="0" collapsed="false">
      <c r="A25" s="24" t="str">
        <f aca="false">Headcount!B21</f>
        <v>Government Liaison (consulting)</v>
      </c>
      <c r="B25" s="24" t="str">
        <f aca="false">Headcount!D21</f>
        <v>EnergyWave, Inc.</v>
      </c>
      <c r="C25" s="24" t="str">
        <f aca="false">IF(Headcount!E21="W-2","Payroll","Consulting")</f>
        <v>Consulting</v>
      </c>
      <c r="D25" s="24" t="str">
        <f aca="false">IF(Headcount!E21="W-2","Salary &amp; load","Consulting fee")</f>
        <v>Consulting fee</v>
      </c>
      <c r="E25" s="30" t="n">
        <f aca="false">SUM(F25:AO25)</f>
        <v>180000</v>
      </c>
      <c r="F25" s="17" t="n">
        <f aca="false">IF(F$4&gt;=Headcount!$M21,Headcount!$N21,0)</f>
        <v>5000</v>
      </c>
      <c r="G25" s="17" t="n">
        <f aca="false">IF(G$4&gt;=Headcount!$M21,Headcount!$N21,0)</f>
        <v>5000</v>
      </c>
      <c r="H25" s="17" t="n">
        <f aca="false">IF(H$4&gt;=Headcount!$M21,Headcount!$N21,0)</f>
        <v>5000</v>
      </c>
      <c r="I25" s="17" t="n">
        <f aca="false">IF(I$4&gt;=Headcount!$M21,Headcount!$N21,0)</f>
        <v>5000</v>
      </c>
      <c r="J25" s="17" t="n">
        <f aca="false">IF(J$4&gt;=Headcount!$M21,Headcount!$N21,0)</f>
        <v>5000</v>
      </c>
      <c r="K25" s="17" t="n">
        <f aca="false">IF(K$4&gt;=Headcount!$M21,Headcount!$N21,0)</f>
        <v>5000</v>
      </c>
      <c r="L25" s="17" t="n">
        <f aca="false">IF(L$4&gt;=Headcount!$M21,Headcount!$N21,0)</f>
        <v>5000</v>
      </c>
      <c r="M25" s="17" t="n">
        <f aca="false">IF(M$4&gt;=Headcount!$M21,Headcount!$N21,0)</f>
        <v>5000</v>
      </c>
      <c r="N25" s="17" t="n">
        <f aca="false">IF(N$4&gt;=Headcount!$M21,Headcount!$N21,0)</f>
        <v>5000</v>
      </c>
      <c r="O25" s="17" t="n">
        <f aca="false">IF(O$4&gt;=Headcount!$M21,Headcount!$N21,0)</f>
        <v>5000</v>
      </c>
      <c r="P25" s="17" t="n">
        <f aca="false">IF(P$4&gt;=Headcount!$M21,Headcount!$N21,0)</f>
        <v>5000</v>
      </c>
      <c r="Q25" s="17" t="n">
        <f aca="false">IF(Q$4&gt;=Headcount!$M21,Headcount!$N21,0)</f>
        <v>5000</v>
      </c>
      <c r="R25" s="17" t="n">
        <f aca="false">IF(R$4&gt;=Headcount!$M21,Headcount!$N21,0)</f>
        <v>5000</v>
      </c>
      <c r="S25" s="17" t="n">
        <f aca="false">IF(S$4&gt;=Headcount!$M21,Headcount!$N21,0)</f>
        <v>5000</v>
      </c>
      <c r="T25" s="17" t="n">
        <f aca="false">IF(T$4&gt;=Headcount!$M21,Headcount!$N21,0)</f>
        <v>5000</v>
      </c>
      <c r="U25" s="17" t="n">
        <f aca="false">IF(U$4&gt;=Headcount!$M21,Headcount!$N21,0)</f>
        <v>5000</v>
      </c>
      <c r="V25" s="17" t="n">
        <f aca="false">IF(V$4&gt;=Headcount!$M21,Headcount!$N21,0)</f>
        <v>5000</v>
      </c>
      <c r="W25" s="17" t="n">
        <f aca="false">IF(W$4&gt;=Headcount!$M21,Headcount!$N21,0)</f>
        <v>5000</v>
      </c>
      <c r="X25" s="17" t="n">
        <f aca="false">IF(X$4&gt;=Headcount!$M21,Headcount!$N21,0)</f>
        <v>5000</v>
      </c>
      <c r="Y25" s="17" t="n">
        <f aca="false">IF(Y$4&gt;=Headcount!$M21,Headcount!$N21,0)</f>
        <v>5000</v>
      </c>
      <c r="Z25" s="17" t="n">
        <f aca="false">IF(Z$4&gt;=Headcount!$M21,Headcount!$N21,0)</f>
        <v>5000</v>
      </c>
      <c r="AA25" s="17" t="n">
        <f aca="false">IF(AA$4&gt;=Headcount!$M21,Headcount!$N21,0)</f>
        <v>5000</v>
      </c>
      <c r="AB25" s="17" t="n">
        <f aca="false">IF(AB$4&gt;=Headcount!$M21,Headcount!$N21,0)</f>
        <v>5000</v>
      </c>
      <c r="AC25" s="17" t="n">
        <f aca="false">IF(AC$4&gt;=Headcount!$M21,Headcount!$N21,0)</f>
        <v>5000</v>
      </c>
      <c r="AD25" s="17" t="n">
        <f aca="false">IF(AD$4&gt;=Headcount!$M21,Headcount!$N21,0)</f>
        <v>5000</v>
      </c>
      <c r="AE25" s="17" t="n">
        <f aca="false">IF(AE$4&gt;=Headcount!$M21,Headcount!$N21,0)</f>
        <v>5000</v>
      </c>
      <c r="AF25" s="17" t="n">
        <f aca="false">IF(AF$4&gt;=Headcount!$M21,Headcount!$N21,0)</f>
        <v>5000</v>
      </c>
      <c r="AG25" s="17" t="n">
        <f aca="false">IF(AG$4&gt;=Headcount!$M21,Headcount!$N21,0)</f>
        <v>5000</v>
      </c>
      <c r="AH25" s="17" t="n">
        <f aca="false">IF(AH$4&gt;=Headcount!$M21,Headcount!$N21,0)</f>
        <v>5000</v>
      </c>
      <c r="AI25" s="17" t="n">
        <f aca="false">IF(AI$4&gt;=Headcount!$M21,Headcount!$N21,0)</f>
        <v>5000</v>
      </c>
      <c r="AJ25" s="17" t="n">
        <f aca="false">IF(AJ$4&gt;=Headcount!$M21,Headcount!$N21,0)</f>
        <v>5000</v>
      </c>
      <c r="AK25" s="17" t="n">
        <f aca="false">IF(AK$4&gt;=Headcount!$M21,Headcount!$N21,0)</f>
        <v>5000</v>
      </c>
      <c r="AL25" s="17" t="n">
        <f aca="false">IF(AL$4&gt;=Headcount!$M21,Headcount!$N21,0)</f>
        <v>5000</v>
      </c>
      <c r="AM25" s="17" t="n">
        <f aca="false">IF(AM$4&gt;=Headcount!$M21,Headcount!$N21,0)</f>
        <v>5000</v>
      </c>
      <c r="AN25" s="17" t="n">
        <f aca="false">IF(AN$4&gt;=Headcount!$M21,Headcount!$N21,0)</f>
        <v>5000</v>
      </c>
      <c r="AO25" s="17" t="n">
        <f aca="false">IF(AO$4&gt;=Headcount!$M21,Headcount!$N21,0)</f>
        <v>5000</v>
      </c>
    </row>
    <row r="26" customFormat="false" ht="15" hidden="false" customHeight="false" outlineLevel="0" collapsed="false">
      <c r="A26" s="8" t="s">
        <v>282</v>
      </c>
      <c r="B26" s="8" t="s">
        <v>92</v>
      </c>
      <c r="C26" s="8" t="s">
        <v>283</v>
      </c>
      <c r="D26" s="8" t="s">
        <v>284</v>
      </c>
      <c r="E26" s="30" t="n">
        <f aca="false">SUM(F26:AO26)</f>
        <v>195000</v>
      </c>
      <c r="F26" s="17" t="n">
        <f aca="false">SUMPRODUCT((Headcount!$M$4:$M$21=F$4)*Headcount!$H$4:$H$21)</f>
        <v>10000</v>
      </c>
      <c r="G26" s="17" t="n">
        <f aca="false">SUMPRODUCT((Headcount!$M$4:$M$21=G$4)*Headcount!$H$4:$H$21)</f>
        <v>65000</v>
      </c>
      <c r="H26" s="17" t="n">
        <f aca="false">SUMPRODUCT((Headcount!$M$4:$M$21=H$4)*Headcount!$H$4:$H$21)</f>
        <v>55000</v>
      </c>
      <c r="I26" s="17" t="n">
        <f aca="false">SUMPRODUCT((Headcount!$M$4:$M$21=I$4)*Headcount!$H$4:$H$21)</f>
        <v>40000</v>
      </c>
      <c r="J26" s="17" t="n">
        <f aca="false">SUMPRODUCT((Headcount!$M$4:$M$21=J$4)*Headcount!$H$4:$H$21)</f>
        <v>25000</v>
      </c>
      <c r="K26" s="17" t="n">
        <f aca="false">SUMPRODUCT((Headcount!$M$4:$M$21=K$4)*Headcount!$H$4:$H$21)</f>
        <v>0</v>
      </c>
      <c r="L26" s="17" t="n">
        <f aca="false">SUMPRODUCT((Headcount!$M$4:$M$21=L$4)*Headcount!$H$4:$H$21)</f>
        <v>0</v>
      </c>
      <c r="M26" s="17" t="n">
        <f aca="false">SUMPRODUCT((Headcount!$M$4:$M$21=M$4)*Headcount!$H$4:$H$21)</f>
        <v>0</v>
      </c>
      <c r="N26" s="17" t="n">
        <f aca="false">SUMPRODUCT((Headcount!$M$4:$M$21=N$4)*Headcount!$H$4:$H$21)</f>
        <v>0</v>
      </c>
      <c r="O26" s="17" t="n">
        <f aca="false">SUMPRODUCT((Headcount!$M$4:$M$21=O$4)*Headcount!$H$4:$H$21)</f>
        <v>0</v>
      </c>
      <c r="P26" s="17" t="n">
        <f aca="false">SUMPRODUCT((Headcount!$M$4:$M$21=P$4)*Headcount!$H$4:$H$21)</f>
        <v>0</v>
      </c>
      <c r="Q26" s="17" t="n">
        <f aca="false">SUMPRODUCT((Headcount!$M$4:$M$21=Q$4)*Headcount!$H$4:$H$21)</f>
        <v>0</v>
      </c>
      <c r="R26" s="17" t="n">
        <f aca="false">SUMPRODUCT((Headcount!$M$4:$M$21=R$4)*Headcount!$H$4:$H$21)</f>
        <v>0</v>
      </c>
      <c r="S26" s="17" t="n">
        <f aca="false">SUMPRODUCT((Headcount!$M$4:$M$21=S$4)*Headcount!$H$4:$H$21)</f>
        <v>0</v>
      </c>
      <c r="T26" s="17" t="n">
        <f aca="false">SUMPRODUCT((Headcount!$M$4:$M$21=T$4)*Headcount!$H$4:$H$21)</f>
        <v>0</v>
      </c>
      <c r="U26" s="17" t="n">
        <f aca="false">SUMPRODUCT((Headcount!$M$4:$M$21=U$4)*Headcount!$H$4:$H$21)</f>
        <v>0</v>
      </c>
      <c r="V26" s="17" t="n">
        <f aca="false">SUMPRODUCT((Headcount!$M$4:$M$21=V$4)*Headcount!$H$4:$H$21)</f>
        <v>0</v>
      </c>
      <c r="W26" s="17" t="n">
        <f aca="false">SUMPRODUCT((Headcount!$M$4:$M$21=W$4)*Headcount!$H$4:$H$21)</f>
        <v>0</v>
      </c>
      <c r="X26" s="17" t="n">
        <f aca="false">SUMPRODUCT((Headcount!$M$4:$M$21=X$4)*Headcount!$H$4:$H$21)</f>
        <v>0</v>
      </c>
      <c r="Y26" s="17" t="n">
        <f aca="false">SUMPRODUCT((Headcount!$M$4:$M$21=Y$4)*Headcount!$H$4:$H$21)</f>
        <v>0</v>
      </c>
      <c r="Z26" s="17" t="n">
        <f aca="false">SUMPRODUCT((Headcount!$M$4:$M$21=Z$4)*Headcount!$H$4:$H$21)</f>
        <v>0</v>
      </c>
      <c r="AA26" s="17" t="n">
        <f aca="false">SUMPRODUCT((Headcount!$M$4:$M$21=AA$4)*Headcount!$H$4:$H$21)</f>
        <v>0</v>
      </c>
      <c r="AB26" s="17" t="n">
        <f aca="false">SUMPRODUCT((Headcount!$M$4:$M$21=AB$4)*Headcount!$H$4:$H$21)</f>
        <v>0</v>
      </c>
      <c r="AC26" s="17" t="n">
        <f aca="false">SUMPRODUCT((Headcount!$M$4:$M$21=AC$4)*Headcount!$H$4:$H$21)</f>
        <v>0</v>
      </c>
      <c r="AD26" s="17" t="n">
        <f aca="false">SUMPRODUCT((Headcount!$M$4:$M$21=AD$4)*Headcount!$H$4:$H$21)</f>
        <v>0</v>
      </c>
      <c r="AE26" s="17" t="n">
        <f aca="false">SUMPRODUCT((Headcount!$M$4:$M$21=AE$4)*Headcount!$H$4:$H$21)</f>
        <v>0</v>
      </c>
      <c r="AF26" s="17" t="n">
        <f aca="false">SUMPRODUCT((Headcount!$M$4:$M$21=AF$4)*Headcount!$H$4:$H$21)</f>
        <v>0</v>
      </c>
      <c r="AG26" s="17" t="n">
        <f aca="false">SUMPRODUCT((Headcount!$M$4:$M$21=AG$4)*Headcount!$H$4:$H$21)</f>
        <v>0</v>
      </c>
      <c r="AH26" s="17" t="n">
        <f aca="false">SUMPRODUCT((Headcount!$M$4:$M$21=AH$4)*Headcount!$H$4:$H$21)</f>
        <v>0</v>
      </c>
      <c r="AI26" s="17" t="n">
        <f aca="false">SUMPRODUCT((Headcount!$M$4:$M$21=AI$4)*Headcount!$H$4:$H$21)</f>
        <v>0</v>
      </c>
      <c r="AJ26" s="17" t="n">
        <f aca="false">SUMPRODUCT((Headcount!$M$4:$M$21=AJ$4)*Headcount!$H$4:$H$21)</f>
        <v>0</v>
      </c>
      <c r="AK26" s="17" t="n">
        <f aca="false">SUMPRODUCT((Headcount!$M$4:$M$21=AK$4)*Headcount!$H$4:$H$21)</f>
        <v>0</v>
      </c>
      <c r="AL26" s="17" t="n">
        <f aca="false">SUMPRODUCT((Headcount!$M$4:$M$21=AL$4)*Headcount!$H$4:$H$21)</f>
        <v>0</v>
      </c>
      <c r="AM26" s="17" t="n">
        <f aca="false">SUMPRODUCT((Headcount!$M$4:$M$21=AM$4)*Headcount!$H$4:$H$21)</f>
        <v>0</v>
      </c>
      <c r="AN26" s="17" t="n">
        <f aca="false">SUMPRODUCT((Headcount!$M$4:$M$21=AN$4)*Headcount!$H$4:$H$21)</f>
        <v>0</v>
      </c>
      <c r="AO26" s="17" t="n">
        <f aca="false">SUMPRODUCT((Headcount!$M$4:$M$21=AO$4)*Headcount!$H$4:$H$21)</f>
        <v>0</v>
      </c>
    </row>
    <row r="27" customFormat="false" ht="15" hidden="false" customHeight="false" outlineLevel="0" collapsed="false">
      <c r="A27" s="28" t="s">
        <v>285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customFormat="false" ht="15" hidden="false" customHeight="false" outlineLevel="0" collapsed="false">
      <c r="A28" s="24" t="str">
        <f aca="false">CostLines!B4</f>
        <v>Office + lab lease near UCI (University Research Park)</v>
      </c>
      <c r="B28" s="24" t="str">
        <f aca="false">CostLines!C4</f>
        <v>EnergyWave, Inc.</v>
      </c>
      <c r="C28" s="24" t="str">
        <f aca="false">CostLines!D4</f>
        <v>Facilities</v>
      </c>
      <c r="D28" s="24" t="str">
        <f aca="false">CostLines!E4</f>
        <v>Lease</v>
      </c>
      <c r="E28" s="30" t="n">
        <f aca="false">SUM(F28:AO28)</f>
        <v>787500</v>
      </c>
      <c r="F28" s="17" t="n">
        <f aca="false">IF(CostLines!$F4="One-time",IF(F$4=CostLines!$N4,CostLines!$J4,0),IF(AND(F$4&gt;=CostLines!$N4,IF(CostLines!$O4="",TRUE(),F$4&lt;CostLines!$N4+CostLines!$O4)),CostLines!$P4,0))</f>
        <v>0</v>
      </c>
      <c r="G28" s="17" t="n">
        <f aca="false">IF(CostLines!$F4="One-time",IF(G$4=CostLines!$N4,CostLines!$J4,0),IF(AND(G$4&gt;=CostLines!$N4,IF(CostLines!$O4="",TRUE(),G$4&lt;CostLines!$N4+CostLines!$O4)),CostLines!$P4,0))</f>
        <v>22500</v>
      </c>
      <c r="H28" s="17" t="n">
        <f aca="false">IF(CostLines!$F4="One-time",IF(H$4=CostLines!$N4,CostLines!$J4,0),IF(AND(H$4&gt;=CostLines!$N4,IF(CostLines!$O4="",TRUE(),H$4&lt;CostLines!$N4+CostLines!$O4)),CostLines!$P4,0))</f>
        <v>22500</v>
      </c>
      <c r="I28" s="17" t="n">
        <f aca="false">IF(CostLines!$F4="One-time",IF(I$4=CostLines!$N4,CostLines!$J4,0),IF(AND(I$4&gt;=CostLines!$N4,IF(CostLines!$O4="",TRUE(),I$4&lt;CostLines!$N4+CostLines!$O4)),CostLines!$P4,0))</f>
        <v>22500</v>
      </c>
      <c r="J28" s="17" t="n">
        <f aca="false">IF(CostLines!$F4="One-time",IF(J$4=CostLines!$N4,CostLines!$J4,0),IF(AND(J$4&gt;=CostLines!$N4,IF(CostLines!$O4="",TRUE(),J$4&lt;CostLines!$N4+CostLines!$O4)),CostLines!$P4,0))</f>
        <v>22500</v>
      </c>
      <c r="K28" s="17" t="n">
        <f aca="false">IF(CostLines!$F4="One-time",IF(K$4=CostLines!$N4,CostLines!$J4,0),IF(AND(K$4&gt;=CostLines!$N4,IF(CostLines!$O4="",TRUE(),K$4&lt;CostLines!$N4+CostLines!$O4)),CostLines!$P4,0))</f>
        <v>22500</v>
      </c>
      <c r="L28" s="17" t="n">
        <f aca="false">IF(CostLines!$F4="One-time",IF(L$4=CostLines!$N4,CostLines!$J4,0),IF(AND(L$4&gt;=CostLines!$N4,IF(CostLines!$O4="",TRUE(),L$4&lt;CostLines!$N4+CostLines!$O4)),CostLines!$P4,0))</f>
        <v>22500</v>
      </c>
      <c r="M28" s="17" t="n">
        <f aca="false">IF(CostLines!$F4="One-time",IF(M$4=CostLines!$N4,CostLines!$J4,0),IF(AND(M$4&gt;=CostLines!$N4,IF(CostLines!$O4="",TRUE(),M$4&lt;CostLines!$N4+CostLines!$O4)),CostLines!$P4,0))</f>
        <v>22500</v>
      </c>
      <c r="N28" s="17" t="n">
        <f aca="false">IF(CostLines!$F4="One-time",IF(N$4=CostLines!$N4,CostLines!$J4,0),IF(AND(N$4&gt;=CostLines!$N4,IF(CostLines!$O4="",TRUE(),N$4&lt;CostLines!$N4+CostLines!$O4)),CostLines!$P4,0))</f>
        <v>22500</v>
      </c>
      <c r="O28" s="17" t="n">
        <f aca="false">IF(CostLines!$F4="One-time",IF(O$4=CostLines!$N4,CostLines!$J4,0),IF(AND(O$4&gt;=CostLines!$N4,IF(CostLines!$O4="",TRUE(),O$4&lt;CostLines!$N4+CostLines!$O4)),CostLines!$P4,0))</f>
        <v>22500</v>
      </c>
      <c r="P28" s="17" t="n">
        <f aca="false">IF(CostLines!$F4="One-time",IF(P$4=CostLines!$N4,CostLines!$J4,0),IF(AND(P$4&gt;=CostLines!$N4,IF(CostLines!$O4="",TRUE(),P$4&lt;CostLines!$N4+CostLines!$O4)),CostLines!$P4,0))</f>
        <v>22500</v>
      </c>
      <c r="Q28" s="17" t="n">
        <f aca="false">IF(CostLines!$F4="One-time",IF(Q$4=CostLines!$N4,CostLines!$J4,0),IF(AND(Q$4&gt;=CostLines!$N4,IF(CostLines!$O4="",TRUE(),Q$4&lt;CostLines!$N4+CostLines!$O4)),CostLines!$P4,0))</f>
        <v>22500</v>
      </c>
      <c r="R28" s="17" t="n">
        <f aca="false">IF(CostLines!$F4="One-time",IF(R$4=CostLines!$N4,CostLines!$J4,0),IF(AND(R$4&gt;=CostLines!$N4,IF(CostLines!$O4="",TRUE(),R$4&lt;CostLines!$N4+CostLines!$O4)),CostLines!$P4,0))</f>
        <v>22500</v>
      </c>
      <c r="S28" s="17" t="n">
        <f aca="false">IF(CostLines!$F4="One-time",IF(S$4=CostLines!$N4,CostLines!$J4,0),IF(AND(S$4&gt;=CostLines!$N4,IF(CostLines!$O4="",TRUE(),S$4&lt;CostLines!$N4+CostLines!$O4)),CostLines!$P4,0))</f>
        <v>22500</v>
      </c>
      <c r="T28" s="17" t="n">
        <f aca="false">IF(CostLines!$F4="One-time",IF(T$4=CostLines!$N4,CostLines!$J4,0),IF(AND(T$4&gt;=CostLines!$N4,IF(CostLines!$O4="",TRUE(),T$4&lt;CostLines!$N4+CostLines!$O4)),CostLines!$P4,0))</f>
        <v>22500</v>
      </c>
      <c r="U28" s="17" t="n">
        <f aca="false">IF(CostLines!$F4="One-time",IF(U$4=CostLines!$N4,CostLines!$J4,0),IF(AND(U$4&gt;=CostLines!$N4,IF(CostLines!$O4="",TRUE(),U$4&lt;CostLines!$N4+CostLines!$O4)),CostLines!$P4,0))</f>
        <v>22500</v>
      </c>
      <c r="V28" s="17" t="n">
        <f aca="false">IF(CostLines!$F4="One-time",IF(V$4=CostLines!$N4,CostLines!$J4,0),IF(AND(V$4&gt;=CostLines!$N4,IF(CostLines!$O4="",TRUE(),V$4&lt;CostLines!$N4+CostLines!$O4)),CostLines!$P4,0))</f>
        <v>22500</v>
      </c>
      <c r="W28" s="17" t="n">
        <f aca="false">IF(CostLines!$F4="One-time",IF(W$4=CostLines!$N4,CostLines!$J4,0),IF(AND(W$4&gt;=CostLines!$N4,IF(CostLines!$O4="",TRUE(),W$4&lt;CostLines!$N4+CostLines!$O4)),CostLines!$P4,0))</f>
        <v>22500</v>
      </c>
      <c r="X28" s="17" t="n">
        <f aca="false">IF(CostLines!$F4="One-time",IF(X$4=CostLines!$N4,CostLines!$J4,0),IF(AND(X$4&gt;=CostLines!$N4,IF(CostLines!$O4="",TRUE(),X$4&lt;CostLines!$N4+CostLines!$O4)),CostLines!$P4,0))</f>
        <v>22500</v>
      </c>
      <c r="Y28" s="17" t="n">
        <f aca="false">IF(CostLines!$F4="One-time",IF(Y$4=CostLines!$N4,CostLines!$J4,0),IF(AND(Y$4&gt;=CostLines!$N4,IF(CostLines!$O4="",TRUE(),Y$4&lt;CostLines!$N4+CostLines!$O4)),CostLines!$P4,0))</f>
        <v>22500</v>
      </c>
      <c r="Z28" s="17" t="n">
        <f aca="false">IF(CostLines!$F4="One-time",IF(Z$4=CostLines!$N4,CostLines!$J4,0),IF(AND(Z$4&gt;=CostLines!$N4,IF(CostLines!$O4="",TRUE(),Z$4&lt;CostLines!$N4+CostLines!$O4)),CostLines!$P4,0))</f>
        <v>22500</v>
      </c>
      <c r="AA28" s="17" t="n">
        <f aca="false">IF(CostLines!$F4="One-time",IF(AA$4=CostLines!$N4,CostLines!$J4,0),IF(AND(AA$4&gt;=CostLines!$N4,IF(CostLines!$O4="",TRUE(),AA$4&lt;CostLines!$N4+CostLines!$O4)),CostLines!$P4,0))</f>
        <v>22500</v>
      </c>
      <c r="AB28" s="17" t="n">
        <f aca="false">IF(CostLines!$F4="One-time",IF(AB$4=CostLines!$N4,CostLines!$J4,0),IF(AND(AB$4&gt;=CostLines!$N4,IF(CostLines!$O4="",TRUE(),AB$4&lt;CostLines!$N4+CostLines!$O4)),CostLines!$P4,0))</f>
        <v>22500</v>
      </c>
      <c r="AC28" s="17" t="n">
        <f aca="false">IF(CostLines!$F4="One-time",IF(AC$4=CostLines!$N4,CostLines!$J4,0),IF(AND(AC$4&gt;=CostLines!$N4,IF(CostLines!$O4="",TRUE(),AC$4&lt;CostLines!$N4+CostLines!$O4)),CostLines!$P4,0))</f>
        <v>22500</v>
      </c>
      <c r="AD28" s="17" t="n">
        <f aca="false">IF(CostLines!$F4="One-time",IF(AD$4=CostLines!$N4,CostLines!$J4,0),IF(AND(AD$4&gt;=CostLines!$N4,IF(CostLines!$O4="",TRUE(),AD$4&lt;CostLines!$N4+CostLines!$O4)),CostLines!$P4,0))</f>
        <v>22500</v>
      </c>
      <c r="AE28" s="17" t="n">
        <f aca="false">IF(CostLines!$F4="One-time",IF(AE$4=CostLines!$N4,CostLines!$J4,0),IF(AND(AE$4&gt;=CostLines!$N4,IF(CostLines!$O4="",TRUE(),AE$4&lt;CostLines!$N4+CostLines!$O4)),CostLines!$P4,0))</f>
        <v>22500</v>
      </c>
      <c r="AF28" s="17" t="n">
        <f aca="false">IF(CostLines!$F4="One-time",IF(AF$4=CostLines!$N4,CostLines!$J4,0),IF(AND(AF$4&gt;=CostLines!$N4,IF(CostLines!$O4="",TRUE(),AF$4&lt;CostLines!$N4+CostLines!$O4)),CostLines!$P4,0))</f>
        <v>22500</v>
      </c>
      <c r="AG28" s="17" t="n">
        <f aca="false">IF(CostLines!$F4="One-time",IF(AG$4=CostLines!$N4,CostLines!$J4,0),IF(AND(AG$4&gt;=CostLines!$N4,IF(CostLines!$O4="",TRUE(),AG$4&lt;CostLines!$N4+CostLines!$O4)),CostLines!$P4,0))</f>
        <v>22500</v>
      </c>
      <c r="AH28" s="17" t="n">
        <f aca="false">IF(CostLines!$F4="One-time",IF(AH$4=CostLines!$N4,CostLines!$J4,0),IF(AND(AH$4&gt;=CostLines!$N4,IF(CostLines!$O4="",TRUE(),AH$4&lt;CostLines!$N4+CostLines!$O4)),CostLines!$P4,0))</f>
        <v>22500</v>
      </c>
      <c r="AI28" s="17" t="n">
        <f aca="false">IF(CostLines!$F4="One-time",IF(AI$4=CostLines!$N4,CostLines!$J4,0),IF(AND(AI$4&gt;=CostLines!$N4,IF(CostLines!$O4="",TRUE(),AI$4&lt;CostLines!$N4+CostLines!$O4)),CostLines!$P4,0))</f>
        <v>22500</v>
      </c>
      <c r="AJ28" s="17" t="n">
        <f aca="false">IF(CostLines!$F4="One-time",IF(AJ$4=CostLines!$N4,CostLines!$J4,0),IF(AND(AJ$4&gt;=CostLines!$N4,IF(CostLines!$O4="",TRUE(),AJ$4&lt;CostLines!$N4+CostLines!$O4)),CostLines!$P4,0))</f>
        <v>22500</v>
      </c>
      <c r="AK28" s="17" t="n">
        <f aca="false">IF(CostLines!$F4="One-time",IF(AK$4=CostLines!$N4,CostLines!$J4,0),IF(AND(AK$4&gt;=CostLines!$N4,IF(CostLines!$O4="",TRUE(),AK$4&lt;CostLines!$N4+CostLines!$O4)),CostLines!$P4,0))</f>
        <v>22500</v>
      </c>
      <c r="AL28" s="17" t="n">
        <f aca="false">IF(CostLines!$F4="One-time",IF(AL$4=CostLines!$N4,CostLines!$J4,0),IF(AND(AL$4&gt;=CostLines!$N4,IF(CostLines!$O4="",TRUE(),AL$4&lt;CostLines!$N4+CostLines!$O4)),CostLines!$P4,0))</f>
        <v>22500</v>
      </c>
      <c r="AM28" s="17" t="n">
        <f aca="false">IF(CostLines!$F4="One-time",IF(AM$4=CostLines!$N4,CostLines!$J4,0),IF(AND(AM$4&gt;=CostLines!$N4,IF(CostLines!$O4="",TRUE(),AM$4&lt;CostLines!$N4+CostLines!$O4)),CostLines!$P4,0))</f>
        <v>22500</v>
      </c>
      <c r="AN28" s="17" t="n">
        <f aca="false">IF(CostLines!$F4="One-time",IF(AN$4=CostLines!$N4,CostLines!$J4,0),IF(AND(AN$4&gt;=CostLines!$N4,IF(CostLines!$O4="",TRUE(),AN$4&lt;CostLines!$N4+CostLines!$O4)),CostLines!$P4,0))</f>
        <v>22500</v>
      </c>
      <c r="AO28" s="17" t="n">
        <f aca="false">IF(CostLines!$F4="One-time",IF(AO$4=CostLines!$N4,CostLines!$J4,0),IF(AND(AO$4&gt;=CostLines!$N4,IF(CostLines!$O4="",TRUE(),AO$4&lt;CostLines!$N4+CostLines!$O4)),CostLines!$P4,0))</f>
        <v>22500</v>
      </c>
    </row>
    <row r="29" customFormat="false" ht="15" hidden="false" customHeight="false" outlineLevel="0" collapsed="false">
      <c r="A29" s="24" t="str">
        <f aca="false">CostLines!B5</f>
        <v>Security deposit</v>
      </c>
      <c r="B29" s="24" t="str">
        <f aca="false">CostLines!C5</f>
        <v>EnergyWave, Inc.</v>
      </c>
      <c r="C29" s="24" t="str">
        <f aca="false">CostLines!D5</f>
        <v>Facilities</v>
      </c>
      <c r="D29" s="24" t="str">
        <f aca="false">CostLines!E5</f>
        <v>Deposit</v>
      </c>
      <c r="E29" s="30" t="n">
        <f aca="false">SUM(F29:AO29)</f>
        <v>45000</v>
      </c>
      <c r="F29" s="17" t="n">
        <f aca="false">IF(CostLines!$F5="One-time",IF(F$4=CostLines!$N5,CostLines!$J5,0),IF(AND(F$4&gt;=CostLines!$N5,IF(CostLines!$O5="",TRUE(),F$4&lt;CostLines!$N5+CostLines!$O5)),CostLines!$P5,0))</f>
        <v>0</v>
      </c>
      <c r="G29" s="17" t="n">
        <f aca="false">IF(CostLines!$F5="One-time",IF(G$4=CostLines!$N5,CostLines!$J5,0),IF(AND(G$4&gt;=CostLines!$N5,IF(CostLines!$O5="",TRUE(),G$4&lt;CostLines!$N5+CostLines!$O5)),CostLines!$P5,0))</f>
        <v>45000</v>
      </c>
      <c r="H29" s="17" t="n">
        <f aca="false">IF(CostLines!$F5="One-time",IF(H$4=CostLines!$N5,CostLines!$J5,0),IF(AND(H$4&gt;=CostLines!$N5,IF(CostLines!$O5="",TRUE(),H$4&lt;CostLines!$N5+CostLines!$O5)),CostLines!$P5,0))</f>
        <v>0</v>
      </c>
      <c r="I29" s="17" t="n">
        <f aca="false">IF(CostLines!$F5="One-time",IF(I$4=CostLines!$N5,CostLines!$J5,0),IF(AND(I$4&gt;=CostLines!$N5,IF(CostLines!$O5="",TRUE(),I$4&lt;CostLines!$N5+CostLines!$O5)),CostLines!$P5,0))</f>
        <v>0</v>
      </c>
      <c r="J29" s="17" t="n">
        <f aca="false">IF(CostLines!$F5="One-time",IF(J$4=CostLines!$N5,CostLines!$J5,0),IF(AND(J$4&gt;=CostLines!$N5,IF(CostLines!$O5="",TRUE(),J$4&lt;CostLines!$N5+CostLines!$O5)),CostLines!$P5,0))</f>
        <v>0</v>
      </c>
      <c r="K29" s="17" t="n">
        <f aca="false">IF(CostLines!$F5="One-time",IF(K$4=CostLines!$N5,CostLines!$J5,0),IF(AND(K$4&gt;=CostLines!$N5,IF(CostLines!$O5="",TRUE(),K$4&lt;CostLines!$N5+CostLines!$O5)),CostLines!$P5,0))</f>
        <v>0</v>
      </c>
      <c r="L29" s="17" t="n">
        <f aca="false">IF(CostLines!$F5="One-time",IF(L$4=CostLines!$N5,CostLines!$J5,0),IF(AND(L$4&gt;=CostLines!$N5,IF(CostLines!$O5="",TRUE(),L$4&lt;CostLines!$N5+CostLines!$O5)),CostLines!$P5,0))</f>
        <v>0</v>
      </c>
      <c r="M29" s="17" t="n">
        <f aca="false">IF(CostLines!$F5="One-time",IF(M$4=CostLines!$N5,CostLines!$J5,0),IF(AND(M$4&gt;=CostLines!$N5,IF(CostLines!$O5="",TRUE(),M$4&lt;CostLines!$N5+CostLines!$O5)),CostLines!$P5,0))</f>
        <v>0</v>
      </c>
      <c r="N29" s="17" t="n">
        <f aca="false">IF(CostLines!$F5="One-time",IF(N$4=CostLines!$N5,CostLines!$J5,0),IF(AND(N$4&gt;=CostLines!$N5,IF(CostLines!$O5="",TRUE(),N$4&lt;CostLines!$N5+CostLines!$O5)),CostLines!$P5,0))</f>
        <v>0</v>
      </c>
      <c r="O29" s="17" t="n">
        <f aca="false">IF(CostLines!$F5="One-time",IF(O$4=CostLines!$N5,CostLines!$J5,0),IF(AND(O$4&gt;=CostLines!$N5,IF(CostLines!$O5="",TRUE(),O$4&lt;CostLines!$N5+CostLines!$O5)),CostLines!$P5,0))</f>
        <v>0</v>
      </c>
      <c r="P29" s="17" t="n">
        <f aca="false">IF(CostLines!$F5="One-time",IF(P$4=CostLines!$N5,CostLines!$J5,0),IF(AND(P$4&gt;=CostLines!$N5,IF(CostLines!$O5="",TRUE(),P$4&lt;CostLines!$N5+CostLines!$O5)),CostLines!$P5,0))</f>
        <v>0</v>
      </c>
      <c r="Q29" s="17" t="n">
        <f aca="false">IF(CostLines!$F5="One-time",IF(Q$4=CostLines!$N5,CostLines!$J5,0),IF(AND(Q$4&gt;=CostLines!$N5,IF(CostLines!$O5="",TRUE(),Q$4&lt;CostLines!$N5+CostLines!$O5)),CostLines!$P5,0))</f>
        <v>0</v>
      </c>
      <c r="R29" s="17" t="n">
        <f aca="false">IF(CostLines!$F5="One-time",IF(R$4=CostLines!$N5,CostLines!$J5,0),IF(AND(R$4&gt;=CostLines!$N5,IF(CostLines!$O5="",TRUE(),R$4&lt;CostLines!$N5+CostLines!$O5)),CostLines!$P5,0))</f>
        <v>0</v>
      </c>
      <c r="S29" s="17" t="n">
        <f aca="false">IF(CostLines!$F5="One-time",IF(S$4=CostLines!$N5,CostLines!$J5,0),IF(AND(S$4&gt;=CostLines!$N5,IF(CostLines!$O5="",TRUE(),S$4&lt;CostLines!$N5+CostLines!$O5)),CostLines!$P5,0))</f>
        <v>0</v>
      </c>
      <c r="T29" s="17" t="n">
        <f aca="false">IF(CostLines!$F5="One-time",IF(T$4=CostLines!$N5,CostLines!$J5,0),IF(AND(T$4&gt;=CostLines!$N5,IF(CostLines!$O5="",TRUE(),T$4&lt;CostLines!$N5+CostLines!$O5)),CostLines!$P5,0))</f>
        <v>0</v>
      </c>
      <c r="U29" s="17" t="n">
        <f aca="false">IF(CostLines!$F5="One-time",IF(U$4=CostLines!$N5,CostLines!$J5,0),IF(AND(U$4&gt;=CostLines!$N5,IF(CostLines!$O5="",TRUE(),U$4&lt;CostLines!$N5+CostLines!$O5)),CostLines!$P5,0))</f>
        <v>0</v>
      </c>
      <c r="V29" s="17" t="n">
        <f aca="false">IF(CostLines!$F5="One-time",IF(V$4=CostLines!$N5,CostLines!$J5,0),IF(AND(V$4&gt;=CostLines!$N5,IF(CostLines!$O5="",TRUE(),V$4&lt;CostLines!$N5+CostLines!$O5)),CostLines!$P5,0))</f>
        <v>0</v>
      </c>
      <c r="W29" s="17" t="n">
        <f aca="false">IF(CostLines!$F5="One-time",IF(W$4=CostLines!$N5,CostLines!$J5,0),IF(AND(W$4&gt;=CostLines!$N5,IF(CostLines!$O5="",TRUE(),W$4&lt;CostLines!$N5+CostLines!$O5)),CostLines!$P5,0))</f>
        <v>0</v>
      </c>
      <c r="X29" s="17" t="n">
        <f aca="false">IF(CostLines!$F5="One-time",IF(X$4=CostLines!$N5,CostLines!$J5,0),IF(AND(X$4&gt;=CostLines!$N5,IF(CostLines!$O5="",TRUE(),X$4&lt;CostLines!$N5+CostLines!$O5)),CostLines!$P5,0))</f>
        <v>0</v>
      </c>
      <c r="Y29" s="17" t="n">
        <f aca="false">IF(CostLines!$F5="One-time",IF(Y$4=CostLines!$N5,CostLines!$J5,0),IF(AND(Y$4&gt;=CostLines!$N5,IF(CostLines!$O5="",TRUE(),Y$4&lt;CostLines!$N5+CostLines!$O5)),CostLines!$P5,0))</f>
        <v>0</v>
      </c>
      <c r="Z29" s="17" t="n">
        <f aca="false">IF(CostLines!$F5="One-time",IF(Z$4=CostLines!$N5,CostLines!$J5,0),IF(AND(Z$4&gt;=CostLines!$N5,IF(CostLines!$O5="",TRUE(),Z$4&lt;CostLines!$N5+CostLines!$O5)),CostLines!$P5,0))</f>
        <v>0</v>
      </c>
      <c r="AA29" s="17" t="n">
        <f aca="false">IF(CostLines!$F5="One-time",IF(AA$4=CostLines!$N5,CostLines!$J5,0),IF(AND(AA$4&gt;=CostLines!$N5,IF(CostLines!$O5="",TRUE(),AA$4&lt;CostLines!$N5+CostLines!$O5)),CostLines!$P5,0))</f>
        <v>0</v>
      </c>
      <c r="AB29" s="17" t="n">
        <f aca="false">IF(CostLines!$F5="One-time",IF(AB$4=CostLines!$N5,CostLines!$J5,0),IF(AND(AB$4&gt;=CostLines!$N5,IF(CostLines!$O5="",TRUE(),AB$4&lt;CostLines!$N5+CostLines!$O5)),CostLines!$P5,0))</f>
        <v>0</v>
      </c>
      <c r="AC29" s="17" t="n">
        <f aca="false">IF(CostLines!$F5="One-time",IF(AC$4=CostLines!$N5,CostLines!$J5,0),IF(AND(AC$4&gt;=CostLines!$N5,IF(CostLines!$O5="",TRUE(),AC$4&lt;CostLines!$N5+CostLines!$O5)),CostLines!$P5,0))</f>
        <v>0</v>
      </c>
      <c r="AD29" s="17" t="n">
        <f aca="false">IF(CostLines!$F5="One-time",IF(AD$4=CostLines!$N5,CostLines!$J5,0),IF(AND(AD$4&gt;=CostLines!$N5,IF(CostLines!$O5="",TRUE(),AD$4&lt;CostLines!$N5+CostLines!$O5)),CostLines!$P5,0))</f>
        <v>0</v>
      </c>
      <c r="AE29" s="17" t="n">
        <f aca="false">IF(CostLines!$F5="One-time",IF(AE$4=CostLines!$N5,CostLines!$J5,0),IF(AND(AE$4&gt;=CostLines!$N5,IF(CostLines!$O5="",TRUE(),AE$4&lt;CostLines!$N5+CostLines!$O5)),CostLines!$P5,0))</f>
        <v>0</v>
      </c>
      <c r="AF29" s="17" t="n">
        <f aca="false">IF(CostLines!$F5="One-time",IF(AF$4=CostLines!$N5,CostLines!$J5,0),IF(AND(AF$4&gt;=CostLines!$N5,IF(CostLines!$O5="",TRUE(),AF$4&lt;CostLines!$N5+CostLines!$O5)),CostLines!$P5,0))</f>
        <v>0</v>
      </c>
      <c r="AG29" s="17" t="n">
        <f aca="false">IF(CostLines!$F5="One-time",IF(AG$4=CostLines!$N5,CostLines!$J5,0),IF(AND(AG$4&gt;=CostLines!$N5,IF(CostLines!$O5="",TRUE(),AG$4&lt;CostLines!$N5+CostLines!$O5)),CostLines!$P5,0))</f>
        <v>0</v>
      </c>
      <c r="AH29" s="17" t="n">
        <f aca="false">IF(CostLines!$F5="One-time",IF(AH$4=CostLines!$N5,CostLines!$J5,0),IF(AND(AH$4&gt;=CostLines!$N5,IF(CostLines!$O5="",TRUE(),AH$4&lt;CostLines!$N5+CostLines!$O5)),CostLines!$P5,0))</f>
        <v>0</v>
      </c>
      <c r="AI29" s="17" t="n">
        <f aca="false">IF(CostLines!$F5="One-time",IF(AI$4=CostLines!$N5,CostLines!$J5,0),IF(AND(AI$4&gt;=CostLines!$N5,IF(CostLines!$O5="",TRUE(),AI$4&lt;CostLines!$N5+CostLines!$O5)),CostLines!$P5,0))</f>
        <v>0</v>
      </c>
      <c r="AJ29" s="17" t="n">
        <f aca="false">IF(CostLines!$F5="One-time",IF(AJ$4=CostLines!$N5,CostLines!$J5,0),IF(AND(AJ$4&gt;=CostLines!$N5,IF(CostLines!$O5="",TRUE(),AJ$4&lt;CostLines!$N5+CostLines!$O5)),CostLines!$P5,0))</f>
        <v>0</v>
      </c>
      <c r="AK29" s="17" t="n">
        <f aca="false">IF(CostLines!$F5="One-time",IF(AK$4=CostLines!$N5,CostLines!$J5,0),IF(AND(AK$4&gt;=CostLines!$N5,IF(CostLines!$O5="",TRUE(),AK$4&lt;CostLines!$N5+CostLines!$O5)),CostLines!$P5,0))</f>
        <v>0</v>
      </c>
      <c r="AL29" s="17" t="n">
        <f aca="false">IF(CostLines!$F5="One-time",IF(AL$4=CostLines!$N5,CostLines!$J5,0),IF(AND(AL$4&gt;=CostLines!$N5,IF(CostLines!$O5="",TRUE(),AL$4&lt;CostLines!$N5+CostLines!$O5)),CostLines!$P5,0))</f>
        <v>0</v>
      </c>
      <c r="AM29" s="17" t="n">
        <f aca="false">IF(CostLines!$F5="One-time",IF(AM$4=CostLines!$N5,CostLines!$J5,0),IF(AND(AM$4&gt;=CostLines!$N5,IF(CostLines!$O5="",TRUE(),AM$4&lt;CostLines!$N5+CostLines!$O5)),CostLines!$P5,0))</f>
        <v>0</v>
      </c>
      <c r="AN29" s="17" t="n">
        <f aca="false">IF(CostLines!$F5="One-time",IF(AN$4=CostLines!$N5,CostLines!$J5,0),IF(AND(AN$4&gt;=CostLines!$N5,IF(CostLines!$O5="",TRUE(),AN$4&lt;CostLines!$N5+CostLines!$O5)),CostLines!$P5,0))</f>
        <v>0</v>
      </c>
      <c r="AO29" s="17" t="n">
        <f aca="false">IF(CostLines!$F5="One-time",IF(AO$4=CostLines!$N5,CostLines!$J5,0),IF(AND(AO$4&gt;=CostLines!$N5,IF(CostLines!$O5="",TRUE(),AO$4&lt;CostLines!$N5+CostLines!$O5)),CostLines!$P5,0))</f>
        <v>0</v>
      </c>
    </row>
    <row r="30" customFormat="false" ht="15" hidden="false" customHeight="false" outlineLevel="0" collapsed="false">
      <c r="A30" s="24" t="str">
        <f aca="false">CostLines!B6</f>
        <v>Lab build-out (power, ventilation, benches, shielding)</v>
      </c>
      <c r="B30" s="24" t="str">
        <f aca="false">CostLines!C6</f>
        <v>EnergyWave, Inc.</v>
      </c>
      <c r="C30" s="24" t="str">
        <f aca="false">CostLines!D6</f>
        <v>Facilities</v>
      </c>
      <c r="D30" s="24" t="str">
        <f aca="false">CostLines!E6</f>
        <v>Build-out</v>
      </c>
      <c r="E30" s="30" t="n">
        <f aca="false">SUM(F30:AO30)</f>
        <v>300000</v>
      </c>
      <c r="F30" s="17" t="n">
        <f aca="false">IF(CostLines!$F6="One-time",IF(F$4=CostLines!$N6,CostLines!$J6,0),IF(AND(F$4&gt;=CostLines!$N6,IF(CostLines!$O6="",TRUE(),F$4&lt;CostLines!$N6+CostLines!$O6)),CostLines!$P6,0))</f>
        <v>0</v>
      </c>
      <c r="G30" s="17" t="n">
        <f aca="false">IF(CostLines!$F6="One-time",IF(G$4=CostLines!$N6,CostLines!$J6,0),IF(AND(G$4&gt;=CostLines!$N6,IF(CostLines!$O6="",TRUE(),G$4&lt;CostLines!$N6+CostLines!$O6)),CostLines!$P6,0))</f>
        <v>300000</v>
      </c>
      <c r="H30" s="17" t="n">
        <f aca="false">IF(CostLines!$F6="One-time",IF(H$4=CostLines!$N6,CostLines!$J6,0),IF(AND(H$4&gt;=CostLines!$N6,IF(CostLines!$O6="",TRUE(),H$4&lt;CostLines!$N6+CostLines!$O6)),CostLines!$P6,0))</f>
        <v>0</v>
      </c>
      <c r="I30" s="17" t="n">
        <f aca="false">IF(CostLines!$F6="One-time",IF(I$4=CostLines!$N6,CostLines!$J6,0),IF(AND(I$4&gt;=CostLines!$N6,IF(CostLines!$O6="",TRUE(),I$4&lt;CostLines!$N6+CostLines!$O6)),CostLines!$P6,0))</f>
        <v>0</v>
      </c>
      <c r="J30" s="17" t="n">
        <f aca="false">IF(CostLines!$F6="One-time",IF(J$4=CostLines!$N6,CostLines!$J6,0),IF(AND(J$4&gt;=CostLines!$N6,IF(CostLines!$O6="",TRUE(),J$4&lt;CostLines!$N6+CostLines!$O6)),CostLines!$P6,0))</f>
        <v>0</v>
      </c>
      <c r="K30" s="17" t="n">
        <f aca="false">IF(CostLines!$F6="One-time",IF(K$4=CostLines!$N6,CostLines!$J6,0),IF(AND(K$4&gt;=CostLines!$N6,IF(CostLines!$O6="",TRUE(),K$4&lt;CostLines!$N6+CostLines!$O6)),CostLines!$P6,0))</f>
        <v>0</v>
      </c>
      <c r="L30" s="17" t="n">
        <f aca="false">IF(CostLines!$F6="One-time",IF(L$4=CostLines!$N6,CostLines!$J6,0),IF(AND(L$4&gt;=CostLines!$N6,IF(CostLines!$O6="",TRUE(),L$4&lt;CostLines!$N6+CostLines!$O6)),CostLines!$P6,0))</f>
        <v>0</v>
      </c>
      <c r="M30" s="17" t="n">
        <f aca="false">IF(CostLines!$F6="One-time",IF(M$4=CostLines!$N6,CostLines!$J6,0),IF(AND(M$4&gt;=CostLines!$N6,IF(CostLines!$O6="",TRUE(),M$4&lt;CostLines!$N6+CostLines!$O6)),CostLines!$P6,0))</f>
        <v>0</v>
      </c>
      <c r="N30" s="17" t="n">
        <f aca="false">IF(CostLines!$F6="One-time",IF(N$4=CostLines!$N6,CostLines!$J6,0),IF(AND(N$4&gt;=CostLines!$N6,IF(CostLines!$O6="",TRUE(),N$4&lt;CostLines!$N6+CostLines!$O6)),CostLines!$P6,0))</f>
        <v>0</v>
      </c>
      <c r="O30" s="17" t="n">
        <f aca="false">IF(CostLines!$F6="One-time",IF(O$4=CostLines!$N6,CostLines!$J6,0),IF(AND(O$4&gt;=CostLines!$N6,IF(CostLines!$O6="",TRUE(),O$4&lt;CostLines!$N6+CostLines!$O6)),CostLines!$P6,0))</f>
        <v>0</v>
      </c>
      <c r="P30" s="17" t="n">
        <f aca="false">IF(CostLines!$F6="One-time",IF(P$4=CostLines!$N6,CostLines!$J6,0),IF(AND(P$4&gt;=CostLines!$N6,IF(CostLines!$O6="",TRUE(),P$4&lt;CostLines!$N6+CostLines!$O6)),CostLines!$P6,0))</f>
        <v>0</v>
      </c>
      <c r="Q30" s="17" t="n">
        <f aca="false">IF(CostLines!$F6="One-time",IF(Q$4=CostLines!$N6,CostLines!$J6,0),IF(AND(Q$4&gt;=CostLines!$N6,IF(CostLines!$O6="",TRUE(),Q$4&lt;CostLines!$N6+CostLines!$O6)),CostLines!$P6,0))</f>
        <v>0</v>
      </c>
      <c r="R30" s="17" t="n">
        <f aca="false">IF(CostLines!$F6="One-time",IF(R$4=CostLines!$N6,CostLines!$J6,0),IF(AND(R$4&gt;=CostLines!$N6,IF(CostLines!$O6="",TRUE(),R$4&lt;CostLines!$N6+CostLines!$O6)),CostLines!$P6,0))</f>
        <v>0</v>
      </c>
      <c r="S30" s="17" t="n">
        <f aca="false">IF(CostLines!$F6="One-time",IF(S$4=CostLines!$N6,CostLines!$J6,0),IF(AND(S$4&gt;=CostLines!$N6,IF(CostLines!$O6="",TRUE(),S$4&lt;CostLines!$N6+CostLines!$O6)),CostLines!$P6,0))</f>
        <v>0</v>
      </c>
      <c r="T30" s="17" t="n">
        <f aca="false">IF(CostLines!$F6="One-time",IF(T$4=CostLines!$N6,CostLines!$J6,0),IF(AND(T$4&gt;=CostLines!$N6,IF(CostLines!$O6="",TRUE(),T$4&lt;CostLines!$N6+CostLines!$O6)),CostLines!$P6,0))</f>
        <v>0</v>
      </c>
      <c r="U30" s="17" t="n">
        <f aca="false">IF(CostLines!$F6="One-time",IF(U$4=CostLines!$N6,CostLines!$J6,0),IF(AND(U$4&gt;=CostLines!$N6,IF(CostLines!$O6="",TRUE(),U$4&lt;CostLines!$N6+CostLines!$O6)),CostLines!$P6,0))</f>
        <v>0</v>
      </c>
      <c r="V30" s="17" t="n">
        <f aca="false">IF(CostLines!$F6="One-time",IF(V$4=CostLines!$N6,CostLines!$J6,0),IF(AND(V$4&gt;=CostLines!$N6,IF(CostLines!$O6="",TRUE(),V$4&lt;CostLines!$N6+CostLines!$O6)),CostLines!$P6,0))</f>
        <v>0</v>
      </c>
      <c r="W30" s="17" t="n">
        <f aca="false">IF(CostLines!$F6="One-time",IF(W$4=CostLines!$N6,CostLines!$J6,0),IF(AND(W$4&gt;=CostLines!$N6,IF(CostLines!$O6="",TRUE(),W$4&lt;CostLines!$N6+CostLines!$O6)),CostLines!$P6,0))</f>
        <v>0</v>
      </c>
      <c r="X30" s="17" t="n">
        <f aca="false">IF(CostLines!$F6="One-time",IF(X$4=CostLines!$N6,CostLines!$J6,0),IF(AND(X$4&gt;=CostLines!$N6,IF(CostLines!$O6="",TRUE(),X$4&lt;CostLines!$N6+CostLines!$O6)),CostLines!$P6,0))</f>
        <v>0</v>
      </c>
      <c r="Y30" s="17" t="n">
        <f aca="false">IF(CostLines!$F6="One-time",IF(Y$4=CostLines!$N6,CostLines!$J6,0),IF(AND(Y$4&gt;=CostLines!$N6,IF(CostLines!$O6="",TRUE(),Y$4&lt;CostLines!$N6+CostLines!$O6)),CostLines!$P6,0))</f>
        <v>0</v>
      </c>
      <c r="Z30" s="17" t="n">
        <f aca="false">IF(CostLines!$F6="One-time",IF(Z$4=CostLines!$N6,CostLines!$J6,0),IF(AND(Z$4&gt;=CostLines!$N6,IF(CostLines!$O6="",TRUE(),Z$4&lt;CostLines!$N6+CostLines!$O6)),CostLines!$P6,0))</f>
        <v>0</v>
      </c>
      <c r="AA30" s="17" t="n">
        <f aca="false">IF(CostLines!$F6="One-time",IF(AA$4=CostLines!$N6,CostLines!$J6,0),IF(AND(AA$4&gt;=CostLines!$N6,IF(CostLines!$O6="",TRUE(),AA$4&lt;CostLines!$N6+CostLines!$O6)),CostLines!$P6,0))</f>
        <v>0</v>
      </c>
      <c r="AB30" s="17" t="n">
        <f aca="false">IF(CostLines!$F6="One-time",IF(AB$4=CostLines!$N6,CostLines!$J6,0),IF(AND(AB$4&gt;=CostLines!$N6,IF(CostLines!$O6="",TRUE(),AB$4&lt;CostLines!$N6+CostLines!$O6)),CostLines!$P6,0))</f>
        <v>0</v>
      </c>
      <c r="AC30" s="17" t="n">
        <f aca="false">IF(CostLines!$F6="One-time",IF(AC$4=CostLines!$N6,CostLines!$J6,0),IF(AND(AC$4&gt;=CostLines!$N6,IF(CostLines!$O6="",TRUE(),AC$4&lt;CostLines!$N6+CostLines!$O6)),CostLines!$P6,0))</f>
        <v>0</v>
      </c>
      <c r="AD30" s="17" t="n">
        <f aca="false">IF(CostLines!$F6="One-time",IF(AD$4=CostLines!$N6,CostLines!$J6,0),IF(AND(AD$4&gt;=CostLines!$N6,IF(CostLines!$O6="",TRUE(),AD$4&lt;CostLines!$N6+CostLines!$O6)),CostLines!$P6,0))</f>
        <v>0</v>
      </c>
      <c r="AE30" s="17" t="n">
        <f aca="false">IF(CostLines!$F6="One-time",IF(AE$4=CostLines!$N6,CostLines!$J6,0),IF(AND(AE$4&gt;=CostLines!$N6,IF(CostLines!$O6="",TRUE(),AE$4&lt;CostLines!$N6+CostLines!$O6)),CostLines!$P6,0))</f>
        <v>0</v>
      </c>
      <c r="AF30" s="17" t="n">
        <f aca="false">IF(CostLines!$F6="One-time",IF(AF$4=CostLines!$N6,CostLines!$J6,0),IF(AND(AF$4&gt;=CostLines!$N6,IF(CostLines!$O6="",TRUE(),AF$4&lt;CostLines!$N6+CostLines!$O6)),CostLines!$P6,0))</f>
        <v>0</v>
      </c>
      <c r="AG30" s="17" t="n">
        <f aca="false">IF(CostLines!$F6="One-time",IF(AG$4=CostLines!$N6,CostLines!$J6,0),IF(AND(AG$4&gt;=CostLines!$N6,IF(CostLines!$O6="",TRUE(),AG$4&lt;CostLines!$N6+CostLines!$O6)),CostLines!$P6,0))</f>
        <v>0</v>
      </c>
      <c r="AH30" s="17" t="n">
        <f aca="false">IF(CostLines!$F6="One-time",IF(AH$4=CostLines!$N6,CostLines!$J6,0),IF(AND(AH$4&gt;=CostLines!$N6,IF(CostLines!$O6="",TRUE(),AH$4&lt;CostLines!$N6+CostLines!$O6)),CostLines!$P6,0))</f>
        <v>0</v>
      </c>
      <c r="AI30" s="17" t="n">
        <f aca="false">IF(CostLines!$F6="One-time",IF(AI$4=CostLines!$N6,CostLines!$J6,0),IF(AND(AI$4&gt;=CostLines!$N6,IF(CostLines!$O6="",TRUE(),AI$4&lt;CostLines!$N6+CostLines!$O6)),CostLines!$P6,0))</f>
        <v>0</v>
      </c>
      <c r="AJ30" s="17" t="n">
        <f aca="false">IF(CostLines!$F6="One-time",IF(AJ$4=CostLines!$N6,CostLines!$J6,0),IF(AND(AJ$4&gt;=CostLines!$N6,IF(CostLines!$O6="",TRUE(),AJ$4&lt;CostLines!$N6+CostLines!$O6)),CostLines!$P6,0))</f>
        <v>0</v>
      </c>
      <c r="AK30" s="17" t="n">
        <f aca="false">IF(CostLines!$F6="One-time",IF(AK$4=CostLines!$N6,CostLines!$J6,0),IF(AND(AK$4&gt;=CostLines!$N6,IF(CostLines!$O6="",TRUE(),AK$4&lt;CostLines!$N6+CostLines!$O6)),CostLines!$P6,0))</f>
        <v>0</v>
      </c>
      <c r="AL30" s="17" t="n">
        <f aca="false">IF(CostLines!$F6="One-time",IF(AL$4=CostLines!$N6,CostLines!$J6,0),IF(AND(AL$4&gt;=CostLines!$N6,IF(CostLines!$O6="",TRUE(),AL$4&lt;CostLines!$N6+CostLines!$O6)),CostLines!$P6,0))</f>
        <v>0</v>
      </c>
      <c r="AM30" s="17" t="n">
        <f aca="false">IF(CostLines!$F6="One-time",IF(AM$4=CostLines!$N6,CostLines!$J6,0),IF(AND(AM$4&gt;=CostLines!$N6,IF(CostLines!$O6="",TRUE(),AM$4&lt;CostLines!$N6+CostLines!$O6)),CostLines!$P6,0))</f>
        <v>0</v>
      </c>
      <c r="AN30" s="17" t="n">
        <f aca="false">IF(CostLines!$F6="One-time",IF(AN$4=CostLines!$N6,CostLines!$J6,0),IF(AND(AN$4&gt;=CostLines!$N6,IF(CostLines!$O6="",TRUE(),AN$4&lt;CostLines!$N6+CostLines!$O6)),CostLines!$P6,0))</f>
        <v>0</v>
      </c>
      <c r="AO30" s="17" t="n">
        <f aca="false">IF(CostLines!$F6="One-time",IF(AO$4=CostLines!$N6,CostLines!$J6,0),IF(AND(AO$4&gt;=CostLines!$N6,IF(CostLines!$O6="",TRUE(),AO$4&lt;CostLines!$N6+CostLines!$O6)),CostLines!$P6,0))</f>
        <v>0</v>
      </c>
    </row>
    <row r="31" customFormat="false" ht="15" hidden="false" customHeight="false" outlineLevel="0" collapsed="false">
      <c r="A31" s="24" t="str">
        <f aca="false">CostLines!B7</f>
        <v>Utilities, internet, security</v>
      </c>
      <c r="B31" s="24" t="str">
        <f aca="false">CostLines!C7</f>
        <v>EnergyWave, Inc.</v>
      </c>
      <c r="C31" s="24" t="str">
        <f aca="false">CostLines!D7</f>
        <v>Facilities</v>
      </c>
      <c r="D31" s="24" t="str">
        <f aca="false">CostLines!E7</f>
        <v>Utilities</v>
      </c>
      <c r="E31" s="30" t="n">
        <f aca="false">SUM(F31:AO31)</f>
        <v>140000</v>
      </c>
      <c r="F31" s="17" t="n">
        <f aca="false">IF(CostLines!$F7="One-time",IF(F$4=CostLines!$N7,CostLines!$J7,0),IF(AND(F$4&gt;=CostLines!$N7,IF(CostLines!$O7="",TRUE(),F$4&lt;CostLines!$N7+CostLines!$O7)),CostLines!$P7,0))</f>
        <v>0</v>
      </c>
      <c r="G31" s="17" t="n">
        <f aca="false">IF(CostLines!$F7="One-time",IF(G$4=CostLines!$N7,CostLines!$J7,0),IF(AND(G$4&gt;=CostLines!$N7,IF(CostLines!$O7="",TRUE(),G$4&lt;CostLines!$N7+CostLines!$O7)),CostLines!$P7,0))</f>
        <v>4000</v>
      </c>
      <c r="H31" s="17" t="n">
        <f aca="false">IF(CostLines!$F7="One-time",IF(H$4=CostLines!$N7,CostLines!$J7,0),IF(AND(H$4&gt;=CostLines!$N7,IF(CostLines!$O7="",TRUE(),H$4&lt;CostLines!$N7+CostLines!$O7)),CostLines!$P7,0))</f>
        <v>4000</v>
      </c>
      <c r="I31" s="17" t="n">
        <f aca="false">IF(CostLines!$F7="One-time",IF(I$4=CostLines!$N7,CostLines!$J7,0),IF(AND(I$4&gt;=CostLines!$N7,IF(CostLines!$O7="",TRUE(),I$4&lt;CostLines!$N7+CostLines!$O7)),CostLines!$P7,0))</f>
        <v>4000</v>
      </c>
      <c r="J31" s="17" t="n">
        <f aca="false">IF(CostLines!$F7="One-time",IF(J$4=CostLines!$N7,CostLines!$J7,0),IF(AND(J$4&gt;=CostLines!$N7,IF(CostLines!$O7="",TRUE(),J$4&lt;CostLines!$N7+CostLines!$O7)),CostLines!$P7,0))</f>
        <v>4000</v>
      </c>
      <c r="K31" s="17" t="n">
        <f aca="false">IF(CostLines!$F7="One-time",IF(K$4=CostLines!$N7,CostLines!$J7,0),IF(AND(K$4&gt;=CostLines!$N7,IF(CostLines!$O7="",TRUE(),K$4&lt;CostLines!$N7+CostLines!$O7)),CostLines!$P7,0))</f>
        <v>4000</v>
      </c>
      <c r="L31" s="17" t="n">
        <f aca="false">IF(CostLines!$F7="One-time",IF(L$4=CostLines!$N7,CostLines!$J7,0),IF(AND(L$4&gt;=CostLines!$N7,IF(CostLines!$O7="",TRUE(),L$4&lt;CostLines!$N7+CostLines!$O7)),CostLines!$P7,0))</f>
        <v>4000</v>
      </c>
      <c r="M31" s="17" t="n">
        <f aca="false">IF(CostLines!$F7="One-time",IF(M$4=CostLines!$N7,CostLines!$J7,0),IF(AND(M$4&gt;=CostLines!$N7,IF(CostLines!$O7="",TRUE(),M$4&lt;CostLines!$N7+CostLines!$O7)),CostLines!$P7,0))</f>
        <v>4000</v>
      </c>
      <c r="N31" s="17" t="n">
        <f aca="false">IF(CostLines!$F7="One-time",IF(N$4=CostLines!$N7,CostLines!$J7,0),IF(AND(N$4&gt;=CostLines!$N7,IF(CostLines!$O7="",TRUE(),N$4&lt;CostLines!$N7+CostLines!$O7)),CostLines!$P7,0))</f>
        <v>4000</v>
      </c>
      <c r="O31" s="17" t="n">
        <f aca="false">IF(CostLines!$F7="One-time",IF(O$4=CostLines!$N7,CostLines!$J7,0),IF(AND(O$4&gt;=CostLines!$N7,IF(CostLines!$O7="",TRUE(),O$4&lt;CostLines!$N7+CostLines!$O7)),CostLines!$P7,0))</f>
        <v>4000</v>
      </c>
      <c r="P31" s="17" t="n">
        <f aca="false">IF(CostLines!$F7="One-time",IF(P$4=CostLines!$N7,CostLines!$J7,0),IF(AND(P$4&gt;=CostLines!$N7,IF(CostLines!$O7="",TRUE(),P$4&lt;CostLines!$N7+CostLines!$O7)),CostLines!$P7,0))</f>
        <v>4000</v>
      </c>
      <c r="Q31" s="17" t="n">
        <f aca="false">IF(CostLines!$F7="One-time",IF(Q$4=CostLines!$N7,CostLines!$J7,0),IF(AND(Q$4&gt;=CostLines!$N7,IF(CostLines!$O7="",TRUE(),Q$4&lt;CostLines!$N7+CostLines!$O7)),CostLines!$P7,0))</f>
        <v>4000</v>
      </c>
      <c r="R31" s="17" t="n">
        <f aca="false">IF(CostLines!$F7="One-time",IF(R$4=CostLines!$N7,CostLines!$J7,0),IF(AND(R$4&gt;=CostLines!$N7,IF(CostLines!$O7="",TRUE(),R$4&lt;CostLines!$N7+CostLines!$O7)),CostLines!$P7,0))</f>
        <v>4000</v>
      </c>
      <c r="S31" s="17" t="n">
        <f aca="false">IF(CostLines!$F7="One-time",IF(S$4=CostLines!$N7,CostLines!$J7,0),IF(AND(S$4&gt;=CostLines!$N7,IF(CostLines!$O7="",TRUE(),S$4&lt;CostLines!$N7+CostLines!$O7)),CostLines!$P7,0))</f>
        <v>4000</v>
      </c>
      <c r="T31" s="17" t="n">
        <f aca="false">IF(CostLines!$F7="One-time",IF(T$4=CostLines!$N7,CostLines!$J7,0),IF(AND(T$4&gt;=CostLines!$N7,IF(CostLines!$O7="",TRUE(),T$4&lt;CostLines!$N7+CostLines!$O7)),CostLines!$P7,0))</f>
        <v>4000</v>
      </c>
      <c r="U31" s="17" t="n">
        <f aca="false">IF(CostLines!$F7="One-time",IF(U$4=CostLines!$N7,CostLines!$J7,0),IF(AND(U$4&gt;=CostLines!$N7,IF(CostLines!$O7="",TRUE(),U$4&lt;CostLines!$N7+CostLines!$O7)),CostLines!$P7,0))</f>
        <v>4000</v>
      </c>
      <c r="V31" s="17" t="n">
        <f aca="false">IF(CostLines!$F7="One-time",IF(V$4=CostLines!$N7,CostLines!$J7,0),IF(AND(V$4&gt;=CostLines!$N7,IF(CostLines!$O7="",TRUE(),V$4&lt;CostLines!$N7+CostLines!$O7)),CostLines!$P7,0))</f>
        <v>4000</v>
      </c>
      <c r="W31" s="17" t="n">
        <f aca="false">IF(CostLines!$F7="One-time",IF(W$4=CostLines!$N7,CostLines!$J7,0),IF(AND(W$4&gt;=CostLines!$N7,IF(CostLines!$O7="",TRUE(),W$4&lt;CostLines!$N7+CostLines!$O7)),CostLines!$P7,0))</f>
        <v>4000</v>
      </c>
      <c r="X31" s="17" t="n">
        <f aca="false">IF(CostLines!$F7="One-time",IF(X$4=CostLines!$N7,CostLines!$J7,0),IF(AND(X$4&gt;=CostLines!$N7,IF(CostLines!$O7="",TRUE(),X$4&lt;CostLines!$N7+CostLines!$O7)),CostLines!$P7,0))</f>
        <v>4000</v>
      </c>
      <c r="Y31" s="17" t="n">
        <f aca="false">IF(CostLines!$F7="One-time",IF(Y$4=CostLines!$N7,CostLines!$J7,0),IF(AND(Y$4&gt;=CostLines!$N7,IF(CostLines!$O7="",TRUE(),Y$4&lt;CostLines!$N7+CostLines!$O7)),CostLines!$P7,0))</f>
        <v>4000</v>
      </c>
      <c r="Z31" s="17" t="n">
        <f aca="false">IF(CostLines!$F7="One-time",IF(Z$4=CostLines!$N7,CostLines!$J7,0),IF(AND(Z$4&gt;=CostLines!$N7,IF(CostLines!$O7="",TRUE(),Z$4&lt;CostLines!$N7+CostLines!$O7)),CostLines!$P7,0))</f>
        <v>4000</v>
      </c>
      <c r="AA31" s="17" t="n">
        <f aca="false">IF(CostLines!$F7="One-time",IF(AA$4=CostLines!$N7,CostLines!$J7,0),IF(AND(AA$4&gt;=CostLines!$N7,IF(CostLines!$O7="",TRUE(),AA$4&lt;CostLines!$N7+CostLines!$O7)),CostLines!$P7,0))</f>
        <v>4000</v>
      </c>
      <c r="AB31" s="17" t="n">
        <f aca="false">IF(CostLines!$F7="One-time",IF(AB$4=CostLines!$N7,CostLines!$J7,0),IF(AND(AB$4&gt;=CostLines!$N7,IF(CostLines!$O7="",TRUE(),AB$4&lt;CostLines!$N7+CostLines!$O7)),CostLines!$P7,0))</f>
        <v>4000</v>
      </c>
      <c r="AC31" s="17" t="n">
        <f aca="false">IF(CostLines!$F7="One-time",IF(AC$4=CostLines!$N7,CostLines!$J7,0),IF(AND(AC$4&gt;=CostLines!$N7,IF(CostLines!$O7="",TRUE(),AC$4&lt;CostLines!$N7+CostLines!$O7)),CostLines!$P7,0))</f>
        <v>4000</v>
      </c>
      <c r="AD31" s="17" t="n">
        <f aca="false">IF(CostLines!$F7="One-time",IF(AD$4=CostLines!$N7,CostLines!$J7,0),IF(AND(AD$4&gt;=CostLines!$N7,IF(CostLines!$O7="",TRUE(),AD$4&lt;CostLines!$N7+CostLines!$O7)),CostLines!$P7,0))</f>
        <v>4000</v>
      </c>
      <c r="AE31" s="17" t="n">
        <f aca="false">IF(CostLines!$F7="One-time",IF(AE$4=CostLines!$N7,CostLines!$J7,0),IF(AND(AE$4&gt;=CostLines!$N7,IF(CostLines!$O7="",TRUE(),AE$4&lt;CostLines!$N7+CostLines!$O7)),CostLines!$P7,0))</f>
        <v>4000</v>
      </c>
      <c r="AF31" s="17" t="n">
        <f aca="false">IF(CostLines!$F7="One-time",IF(AF$4=CostLines!$N7,CostLines!$J7,0),IF(AND(AF$4&gt;=CostLines!$N7,IF(CostLines!$O7="",TRUE(),AF$4&lt;CostLines!$N7+CostLines!$O7)),CostLines!$P7,0))</f>
        <v>4000</v>
      </c>
      <c r="AG31" s="17" t="n">
        <f aca="false">IF(CostLines!$F7="One-time",IF(AG$4=CostLines!$N7,CostLines!$J7,0),IF(AND(AG$4&gt;=CostLines!$N7,IF(CostLines!$O7="",TRUE(),AG$4&lt;CostLines!$N7+CostLines!$O7)),CostLines!$P7,0))</f>
        <v>4000</v>
      </c>
      <c r="AH31" s="17" t="n">
        <f aca="false">IF(CostLines!$F7="One-time",IF(AH$4=CostLines!$N7,CostLines!$J7,0),IF(AND(AH$4&gt;=CostLines!$N7,IF(CostLines!$O7="",TRUE(),AH$4&lt;CostLines!$N7+CostLines!$O7)),CostLines!$P7,0))</f>
        <v>4000</v>
      </c>
      <c r="AI31" s="17" t="n">
        <f aca="false">IF(CostLines!$F7="One-time",IF(AI$4=CostLines!$N7,CostLines!$J7,0),IF(AND(AI$4&gt;=CostLines!$N7,IF(CostLines!$O7="",TRUE(),AI$4&lt;CostLines!$N7+CostLines!$O7)),CostLines!$P7,0))</f>
        <v>4000</v>
      </c>
      <c r="AJ31" s="17" t="n">
        <f aca="false">IF(CostLines!$F7="One-time",IF(AJ$4=CostLines!$N7,CostLines!$J7,0),IF(AND(AJ$4&gt;=CostLines!$N7,IF(CostLines!$O7="",TRUE(),AJ$4&lt;CostLines!$N7+CostLines!$O7)),CostLines!$P7,0))</f>
        <v>4000</v>
      </c>
      <c r="AK31" s="17" t="n">
        <f aca="false">IF(CostLines!$F7="One-time",IF(AK$4=CostLines!$N7,CostLines!$J7,0),IF(AND(AK$4&gt;=CostLines!$N7,IF(CostLines!$O7="",TRUE(),AK$4&lt;CostLines!$N7+CostLines!$O7)),CostLines!$P7,0))</f>
        <v>4000</v>
      </c>
      <c r="AL31" s="17" t="n">
        <f aca="false">IF(CostLines!$F7="One-time",IF(AL$4=CostLines!$N7,CostLines!$J7,0),IF(AND(AL$4&gt;=CostLines!$N7,IF(CostLines!$O7="",TRUE(),AL$4&lt;CostLines!$N7+CostLines!$O7)),CostLines!$P7,0))</f>
        <v>4000</v>
      </c>
      <c r="AM31" s="17" t="n">
        <f aca="false">IF(CostLines!$F7="One-time",IF(AM$4=CostLines!$N7,CostLines!$J7,0),IF(AND(AM$4&gt;=CostLines!$N7,IF(CostLines!$O7="",TRUE(),AM$4&lt;CostLines!$N7+CostLines!$O7)),CostLines!$P7,0))</f>
        <v>4000</v>
      </c>
      <c r="AN31" s="17" t="n">
        <f aca="false">IF(CostLines!$F7="One-time",IF(AN$4=CostLines!$N7,CostLines!$J7,0),IF(AND(AN$4&gt;=CostLines!$N7,IF(CostLines!$O7="",TRUE(),AN$4&lt;CostLines!$N7+CostLines!$O7)),CostLines!$P7,0))</f>
        <v>4000</v>
      </c>
      <c r="AO31" s="17" t="n">
        <f aca="false">IF(CostLines!$F7="One-time",IF(AO$4=CostLines!$N7,CostLines!$J7,0),IF(AND(AO$4&gt;=CostLines!$N7,IF(CostLines!$O7="",TRUE(),AO$4&lt;CostLines!$N7+CostLines!$O7)),CostLines!$P7,0))</f>
        <v>4000</v>
      </c>
    </row>
    <row r="32" customFormat="false" ht="15" hidden="false" customHeight="false" outlineLevel="0" collapsed="false">
      <c r="A32" s="24" t="str">
        <f aca="false">CostLines!B8</f>
        <v>Tabletop instrumentation package (calorimeters, power analyzers, precision sources/loads, DAQ, thermal chambers, balances, shielded enclosure, reference standards)</v>
      </c>
      <c r="B32" s="24" t="str">
        <f aca="false">CostLines!C8</f>
        <v>EnergyWave, Inc.</v>
      </c>
      <c r="C32" s="24" t="str">
        <f aca="false">CostLines!D8</f>
        <v>Equipment</v>
      </c>
      <c r="D32" s="24" t="str">
        <f aca="false">CostLines!E8</f>
        <v>Instrumentation</v>
      </c>
      <c r="E32" s="30" t="n">
        <f aca="false">SUM(F32:AO32)</f>
        <v>450000</v>
      </c>
      <c r="F32" s="17" t="n">
        <f aca="false">IF(CostLines!$F8="One-time",IF(F$4=CostLines!$N8,CostLines!$J8,0),IF(AND(F$4&gt;=CostLines!$N8,IF(CostLines!$O8="",TRUE(),F$4&lt;CostLines!$N8+CostLines!$O8)),CostLines!$P8,0))</f>
        <v>0</v>
      </c>
      <c r="G32" s="17" t="n">
        <f aca="false">IF(CostLines!$F8="One-time",IF(G$4=CostLines!$N8,CostLines!$J8,0),IF(AND(G$4&gt;=CostLines!$N8,IF(CostLines!$O8="",TRUE(),G$4&lt;CostLines!$N8+CostLines!$O8)),CostLines!$P8,0))</f>
        <v>450000</v>
      </c>
      <c r="H32" s="17" t="n">
        <f aca="false">IF(CostLines!$F8="One-time",IF(H$4=CostLines!$N8,CostLines!$J8,0),IF(AND(H$4&gt;=CostLines!$N8,IF(CostLines!$O8="",TRUE(),H$4&lt;CostLines!$N8+CostLines!$O8)),CostLines!$P8,0))</f>
        <v>0</v>
      </c>
      <c r="I32" s="17" t="n">
        <f aca="false">IF(CostLines!$F8="One-time",IF(I$4=CostLines!$N8,CostLines!$J8,0),IF(AND(I$4&gt;=CostLines!$N8,IF(CostLines!$O8="",TRUE(),I$4&lt;CostLines!$N8+CostLines!$O8)),CostLines!$P8,0))</f>
        <v>0</v>
      </c>
      <c r="J32" s="17" t="n">
        <f aca="false">IF(CostLines!$F8="One-time",IF(J$4=CostLines!$N8,CostLines!$J8,0),IF(AND(J$4&gt;=CostLines!$N8,IF(CostLines!$O8="",TRUE(),J$4&lt;CostLines!$N8+CostLines!$O8)),CostLines!$P8,0))</f>
        <v>0</v>
      </c>
      <c r="K32" s="17" t="n">
        <f aca="false">IF(CostLines!$F8="One-time",IF(K$4=CostLines!$N8,CostLines!$J8,0),IF(AND(K$4&gt;=CostLines!$N8,IF(CostLines!$O8="",TRUE(),K$4&lt;CostLines!$N8+CostLines!$O8)),CostLines!$P8,0))</f>
        <v>0</v>
      </c>
      <c r="L32" s="17" t="n">
        <f aca="false">IF(CostLines!$F8="One-time",IF(L$4=CostLines!$N8,CostLines!$J8,0),IF(AND(L$4&gt;=CostLines!$N8,IF(CostLines!$O8="",TRUE(),L$4&lt;CostLines!$N8+CostLines!$O8)),CostLines!$P8,0))</f>
        <v>0</v>
      </c>
      <c r="M32" s="17" t="n">
        <f aca="false">IF(CostLines!$F8="One-time",IF(M$4=CostLines!$N8,CostLines!$J8,0),IF(AND(M$4&gt;=CostLines!$N8,IF(CostLines!$O8="",TRUE(),M$4&lt;CostLines!$N8+CostLines!$O8)),CostLines!$P8,0))</f>
        <v>0</v>
      </c>
      <c r="N32" s="17" t="n">
        <f aca="false">IF(CostLines!$F8="One-time",IF(N$4=CostLines!$N8,CostLines!$J8,0),IF(AND(N$4&gt;=CostLines!$N8,IF(CostLines!$O8="",TRUE(),N$4&lt;CostLines!$N8+CostLines!$O8)),CostLines!$P8,0))</f>
        <v>0</v>
      </c>
      <c r="O32" s="17" t="n">
        <f aca="false">IF(CostLines!$F8="One-time",IF(O$4=CostLines!$N8,CostLines!$J8,0),IF(AND(O$4&gt;=CostLines!$N8,IF(CostLines!$O8="",TRUE(),O$4&lt;CostLines!$N8+CostLines!$O8)),CostLines!$P8,0))</f>
        <v>0</v>
      </c>
      <c r="P32" s="17" t="n">
        <f aca="false">IF(CostLines!$F8="One-time",IF(P$4=CostLines!$N8,CostLines!$J8,0),IF(AND(P$4&gt;=CostLines!$N8,IF(CostLines!$O8="",TRUE(),P$4&lt;CostLines!$N8+CostLines!$O8)),CostLines!$P8,0))</f>
        <v>0</v>
      </c>
      <c r="Q32" s="17" t="n">
        <f aca="false">IF(CostLines!$F8="One-time",IF(Q$4=CostLines!$N8,CostLines!$J8,0),IF(AND(Q$4&gt;=CostLines!$N8,IF(CostLines!$O8="",TRUE(),Q$4&lt;CostLines!$N8+CostLines!$O8)),CostLines!$P8,0))</f>
        <v>0</v>
      </c>
      <c r="R32" s="17" t="n">
        <f aca="false">IF(CostLines!$F8="One-time",IF(R$4=CostLines!$N8,CostLines!$J8,0),IF(AND(R$4&gt;=CostLines!$N8,IF(CostLines!$O8="",TRUE(),R$4&lt;CostLines!$N8+CostLines!$O8)),CostLines!$P8,0))</f>
        <v>0</v>
      </c>
      <c r="S32" s="17" t="n">
        <f aca="false">IF(CostLines!$F8="One-time",IF(S$4=CostLines!$N8,CostLines!$J8,0),IF(AND(S$4&gt;=CostLines!$N8,IF(CostLines!$O8="",TRUE(),S$4&lt;CostLines!$N8+CostLines!$O8)),CostLines!$P8,0))</f>
        <v>0</v>
      </c>
      <c r="T32" s="17" t="n">
        <f aca="false">IF(CostLines!$F8="One-time",IF(T$4=CostLines!$N8,CostLines!$J8,0),IF(AND(T$4&gt;=CostLines!$N8,IF(CostLines!$O8="",TRUE(),T$4&lt;CostLines!$N8+CostLines!$O8)),CostLines!$P8,0))</f>
        <v>0</v>
      </c>
      <c r="U32" s="17" t="n">
        <f aca="false">IF(CostLines!$F8="One-time",IF(U$4=CostLines!$N8,CostLines!$J8,0),IF(AND(U$4&gt;=CostLines!$N8,IF(CostLines!$O8="",TRUE(),U$4&lt;CostLines!$N8+CostLines!$O8)),CostLines!$P8,0))</f>
        <v>0</v>
      </c>
      <c r="V32" s="17" t="n">
        <f aca="false">IF(CostLines!$F8="One-time",IF(V$4=CostLines!$N8,CostLines!$J8,0),IF(AND(V$4&gt;=CostLines!$N8,IF(CostLines!$O8="",TRUE(),V$4&lt;CostLines!$N8+CostLines!$O8)),CostLines!$P8,0))</f>
        <v>0</v>
      </c>
      <c r="W32" s="17" t="n">
        <f aca="false">IF(CostLines!$F8="One-time",IF(W$4=CostLines!$N8,CostLines!$J8,0),IF(AND(W$4&gt;=CostLines!$N8,IF(CostLines!$O8="",TRUE(),W$4&lt;CostLines!$N8+CostLines!$O8)),CostLines!$P8,0))</f>
        <v>0</v>
      </c>
      <c r="X32" s="17" t="n">
        <f aca="false">IF(CostLines!$F8="One-time",IF(X$4=CostLines!$N8,CostLines!$J8,0),IF(AND(X$4&gt;=CostLines!$N8,IF(CostLines!$O8="",TRUE(),X$4&lt;CostLines!$N8+CostLines!$O8)),CostLines!$P8,0))</f>
        <v>0</v>
      </c>
      <c r="Y32" s="17" t="n">
        <f aca="false">IF(CostLines!$F8="One-time",IF(Y$4=CostLines!$N8,CostLines!$J8,0),IF(AND(Y$4&gt;=CostLines!$N8,IF(CostLines!$O8="",TRUE(),Y$4&lt;CostLines!$N8+CostLines!$O8)),CostLines!$P8,0))</f>
        <v>0</v>
      </c>
      <c r="Z32" s="17" t="n">
        <f aca="false">IF(CostLines!$F8="One-time",IF(Z$4=CostLines!$N8,CostLines!$J8,0),IF(AND(Z$4&gt;=CostLines!$N8,IF(CostLines!$O8="",TRUE(),Z$4&lt;CostLines!$N8+CostLines!$O8)),CostLines!$P8,0))</f>
        <v>0</v>
      </c>
      <c r="AA32" s="17" t="n">
        <f aca="false">IF(CostLines!$F8="One-time",IF(AA$4=CostLines!$N8,CostLines!$J8,0),IF(AND(AA$4&gt;=CostLines!$N8,IF(CostLines!$O8="",TRUE(),AA$4&lt;CostLines!$N8+CostLines!$O8)),CostLines!$P8,0))</f>
        <v>0</v>
      </c>
      <c r="AB32" s="17" t="n">
        <f aca="false">IF(CostLines!$F8="One-time",IF(AB$4=CostLines!$N8,CostLines!$J8,0),IF(AND(AB$4&gt;=CostLines!$N8,IF(CostLines!$O8="",TRUE(),AB$4&lt;CostLines!$N8+CostLines!$O8)),CostLines!$P8,0))</f>
        <v>0</v>
      </c>
      <c r="AC32" s="17" t="n">
        <f aca="false">IF(CostLines!$F8="One-time",IF(AC$4=CostLines!$N8,CostLines!$J8,0),IF(AND(AC$4&gt;=CostLines!$N8,IF(CostLines!$O8="",TRUE(),AC$4&lt;CostLines!$N8+CostLines!$O8)),CostLines!$P8,0))</f>
        <v>0</v>
      </c>
      <c r="AD32" s="17" t="n">
        <f aca="false">IF(CostLines!$F8="One-time",IF(AD$4=CostLines!$N8,CostLines!$J8,0),IF(AND(AD$4&gt;=CostLines!$N8,IF(CostLines!$O8="",TRUE(),AD$4&lt;CostLines!$N8+CostLines!$O8)),CostLines!$P8,0))</f>
        <v>0</v>
      </c>
      <c r="AE32" s="17" t="n">
        <f aca="false">IF(CostLines!$F8="One-time",IF(AE$4=CostLines!$N8,CostLines!$J8,0),IF(AND(AE$4&gt;=CostLines!$N8,IF(CostLines!$O8="",TRUE(),AE$4&lt;CostLines!$N8+CostLines!$O8)),CostLines!$P8,0))</f>
        <v>0</v>
      </c>
      <c r="AF32" s="17" t="n">
        <f aca="false">IF(CostLines!$F8="One-time",IF(AF$4=CostLines!$N8,CostLines!$J8,0),IF(AND(AF$4&gt;=CostLines!$N8,IF(CostLines!$O8="",TRUE(),AF$4&lt;CostLines!$N8+CostLines!$O8)),CostLines!$P8,0))</f>
        <v>0</v>
      </c>
      <c r="AG32" s="17" t="n">
        <f aca="false">IF(CostLines!$F8="One-time",IF(AG$4=CostLines!$N8,CostLines!$J8,0),IF(AND(AG$4&gt;=CostLines!$N8,IF(CostLines!$O8="",TRUE(),AG$4&lt;CostLines!$N8+CostLines!$O8)),CostLines!$P8,0))</f>
        <v>0</v>
      </c>
      <c r="AH32" s="17" t="n">
        <f aca="false">IF(CostLines!$F8="One-time",IF(AH$4=CostLines!$N8,CostLines!$J8,0),IF(AND(AH$4&gt;=CostLines!$N8,IF(CostLines!$O8="",TRUE(),AH$4&lt;CostLines!$N8+CostLines!$O8)),CostLines!$P8,0))</f>
        <v>0</v>
      </c>
      <c r="AI32" s="17" t="n">
        <f aca="false">IF(CostLines!$F8="One-time",IF(AI$4=CostLines!$N8,CostLines!$J8,0),IF(AND(AI$4&gt;=CostLines!$N8,IF(CostLines!$O8="",TRUE(),AI$4&lt;CostLines!$N8+CostLines!$O8)),CostLines!$P8,0))</f>
        <v>0</v>
      </c>
      <c r="AJ32" s="17" t="n">
        <f aca="false">IF(CostLines!$F8="One-time",IF(AJ$4=CostLines!$N8,CostLines!$J8,0),IF(AND(AJ$4&gt;=CostLines!$N8,IF(CostLines!$O8="",TRUE(),AJ$4&lt;CostLines!$N8+CostLines!$O8)),CostLines!$P8,0))</f>
        <v>0</v>
      </c>
      <c r="AK32" s="17" t="n">
        <f aca="false">IF(CostLines!$F8="One-time",IF(AK$4=CostLines!$N8,CostLines!$J8,0),IF(AND(AK$4&gt;=CostLines!$N8,IF(CostLines!$O8="",TRUE(),AK$4&lt;CostLines!$N8+CostLines!$O8)),CostLines!$P8,0))</f>
        <v>0</v>
      </c>
      <c r="AL32" s="17" t="n">
        <f aca="false">IF(CostLines!$F8="One-time",IF(AL$4=CostLines!$N8,CostLines!$J8,0),IF(AND(AL$4&gt;=CostLines!$N8,IF(CostLines!$O8="",TRUE(),AL$4&lt;CostLines!$N8+CostLines!$O8)),CostLines!$P8,0))</f>
        <v>0</v>
      </c>
      <c r="AM32" s="17" t="n">
        <f aca="false">IF(CostLines!$F8="One-time",IF(AM$4=CostLines!$N8,CostLines!$J8,0),IF(AND(AM$4&gt;=CostLines!$N8,IF(CostLines!$O8="",TRUE(),AM$4&lt;CostLines!$N8+CostLines!$O8)),CostLines!$P8,0))</f>
        <v>0</v>
      </c>
      <c r="AN32" s="17" t="n">
        <f aca="false">IF(CostLines!$F8="One-time",IF(AN$4=CostLines!$N8,CostLines!$J8,0),IF(AND(AN$4&gt;=CostLines!$N8,IF(CostLines!$O8="",TRUE(),AN$4&lt;CostLines!$N8+CostLines!$O8)),CostLines!$P8,0))</f>
        <v>0</v>
      </c>
      <c r="AO32" s="17" t="n">
        <f aca="false">IF(CostLines!$F8="One-time",IF(AO$4=CostLines!$N8,CostLines!$J8,0),IF(AND(AO$4&gt;=CostLines!$N8,IF(CostLines!$O8="",TRUE(),AO$4&lt;CostLines!$N8+CostLines!$O8)),CostLines!$P8,0))</f>
        <v>0</v>
      </c>
    </row>
    <row r="33" customFormat="false" ht="15" hidden="false" customHeight="false" outlineLevel="0" collapsed="false">
      <c r="A33" s="24" t="str">
        <f aca="false">CostLines!B9</f>
        <v>Calibration &amp; metrology services</v>
      </c>
      <c r="B33" s="24" t="str">
        <f aca="false">CostLines!C9</f>
        <v>EnergyWave, Inc.</v>
      </c>
      <c r="C33" s="24" t="str">
        <f aca="false">CostLines!D9</f>
        <v>Equipment</v>
      </c>
      <c r="D33" s="24" t="str">
        <f aca="false">CostLines!E9</f>
        <v>Calibration</v>
      </c>
      <c r="E33" s="30" t="n">
        <f aca="false">SUM(F33:AO33)</f>
        <v>85000</v>
      </c>
      <c r="F33" s="17" t="n">
        <f aca="false">IF(CostLines!$F9="One-time",IF(F$4=CostLines!$N9,CostLines!$J9,0),IF(AND(F$4&gt;=CostLines!$N9,IF(CostLines!$O9="",TRUE(),F$4&lt;CostLines!$N9+CostLines!$O9)),CostLines!$P9,0))</f>
        <v>0</v>
      </c>
      <c r="G33" s="17" t="n">
        <f aca="false">IF(CostLines!$F9="One-time",IF(G$4=CostLines!$N9,CostLines!$J9,0),IF(AND(G$4&gt;=CostLines!$N9,IF(CostLines!$O9="",TRUE(),G$4&lt;CostLines!$N9+CostLines!$O9)),CostLines!$P9,0))</f>
        <v>0</v>
      </c>
      <c r="H33" s="17" t="n">
        <f aca="false">IF(CostLines!$F9="One-time",IF(H$4=CostLines!$N9,CostLines!$J9,0),IF(AND(H$4&gt;=CostLines!$N9,IF(CostLines!$O9="",TRUE(),H$4&lt;CostLines!$N9+CostLines!$O9)),CostLines!$P9,0))</f>
        <v>2500</v>
      </c>
      <c r="I33" s="17" t="n">
        <f aca="false">IF(CostLines!$F9="One-time",IF(I$4=CostLines!$N9,CostLines!$J9,0),IF(AND(I$4&gt;=CostLines!$N9,IF(CostLines!$O9="",TRUE(),I$4&lt;CostLines!$N9+CostLines!$O9)),CostLines!$P9,0))</f>
        <v>2500</v>
      </c>
      <c r="J33" s="17" t="n">
        <f aca="false">IF(CostLines!$F9="One-time",IF(J$4=CostLines!$N9,CostLines!$J9,0),IF(AND(J$4&gt;=CostLines!$N9,IF(CostLines!$O9="",TRUE(),J$4&lt;CostLines!$N9+CostLines!$O9)),CostLines!$P9,0))</f>
        <v>2500</v>
      </c>
      <c r="K33" s="17" t="n">
        <f aca="false">IF(CostLines!$F9="One-time",IF(K$4=CostLines!$N9,CostLines!$J9,0),IF(AND(K$4&gt;=CostLines!$N9,IF(CostLines!$O9="",TRUE(),K$4&lt;CostLines!$N9+CostLines!$O9)),CostLines!$P9,0))</f>
        <v>2500</v>
      </c>
      <c r="L33" s="17" t="n">
        <f aca="false">IF(CostLines!$F9="One-time",IF(L$4=CostLines!$N9,CostLines!$J9,0),IF(AND(L$4&gt;=CostLines!$N9,IF(CostLines!$O9="",TRUE(),L$4&lt;CostLines!$N9+CostLines!$O9)),CostLines!$P9,0))</f>
        <v>2500</v>
      </c>
      <c r="M33" s="17" t="n">
        <f aca="false">IF(CostLines!$F9="One-time",IF(M$4=CostLines!$N9,CostLines!$J9,0),IF(AND(M$4&gt;=CostLines!$N9,IF(CostLines!$O9="",TRUE(),M$4&lt;CostLines!$N9+CostLines!$O9)),CostLines!$P9,0))</f>
        <v>2500</v>
      </c>
      <c r="N33" s="17" t="n">
        <f aca="false">IF(CostLines!$F9="One-time",IF(N$4=CostLines!$N9,CostLines!$J9,0),IF(AND(N$4&gt;=CostLines!$N9,IF(CostLines!$O9="",TRUE(),N$4&lt;CostLines!$N9+CostLines!$O9)),CostLines!$P9,0))</f>
        <v>2500</v>
      </c>
      <c r="O33" s="17" t="n">
        <f aca="false">IF(CostLines!$F9="One-time",IF(O$4=CostLines!$N9,CostLines!$J9,0),IF(AND(O$4&gt;=CostLines!$N9,IF(CostLines!$O9="",TRUE(),O$4&lt;CostLines!$N9+CostLines!$O9)),CostLines!$P9,0))</f>
        <v>2500</v>
      </c>
      <c r="P33" s="17" t="n">
        <f aca="false">IF(CostLines!$F9="One-time",IF(P$4=CostLines!$N9,CostLines!$J9,0),IF(AND(P$4&gt;=CostLines!$N9,IF(CostLines!$O9="",TRUE(),P$4&lt;CostLines!$N9+CostLines!$O9)),CostLines!$P9,0))</f>
        <v>2500</v>
      </c>
      <c r="Q33" s="17" t="n">
        <f aca="false">IF(CostLines!$F9="One-time",IF(Q$4=CostLines!$N9,CostLines!$J9,0),IF(AND(Q$4&gt;=CostLines!$N9,IF(CostLines!$O9="",TRUE(),Q$4&lt;CostLines!$N9+CostLines!$O9)),CostLines!$P9,0))</f>
        <v>2500</v>
      </c>
      <c r="R33" s="17" t="n">
        <f aca="false">IF(CostLines!$F9="One-time",IF(R$4=CostLines!$N9,CostLines!$J9,0),IF(AND(R$4&gt;=CostLines!$N9,IF(CostLines!$O9="",TRUE(),R$4&lt;CostLines!$N9+CostLines!$O9)),CostLines!$P9,0))</f>
        <v>2500</v>
      </c>
      <c r="S33" s="17" t="n">
        <f aca="false">IF(CostLines!$F9="One-time",IF(S$4=CostLines!$N9,CostLines!$J9,0),IF(AND(S$4&gt;=CostLines!$N9,IF(CostLines!$O9="",TRUE(),S$4&lt;CostLines!$N9+CostLines!$O9)),CostLines!$P9,0))</f>
        <v>2500</v>
      </c>
      <c r="T33" s="17" t="n">
        <f aca="false">IF(CostLines!$F9="One-time",IF(T$4=CostLines!$N9,CostLines!$J9,0),IF(AND(T$4&gt;=CostLines!$N9,IF(CostLines!$O9="",TRUE(),T$4&lt;CostLines!$N9+CostLines!$O9)),CostLines!$P9,0))</f>
        <v>2500</v>
      </c>
      <c r="U33" s="17" t="n">
        <f aca="false">IF(CostLines!$F9="One-time",IF(U$4=CostLines!$N9,CostLines!$J9,0),IF(AND(U$4&gt;=CostLines!$N9,IF(CostLines!$O9="",TRUE(),U$4&lt;CostLines!$N9+CostLines!$O9)),CostLines!$P9,0))</f>
        <v>2500</v>
      </c>
      <c r="V33" s="17" t="n">
        <f aca="false">IF(CostLines!$F9="One-time",IF(V$4=CostLines!$N9,CostLines!$J9,0),IF(AND(V$4&gt;=CostLines!$N9,IF(CostLines!$O9="",TRUE(),V$4&lt;CostLines!$N9+CostLines!$O9)),CostLines!$P9,0))</f>
        <v>2500</v>
      </c>
      <c r="W33" s="17" t="n">
        <f aca="false">IF(CostLines!$F9="One-time",IF(W$4=CostLines!$N9,CostLines!$J9,0),IF(AND(W$4&gt;=CostLines!$N9,IF(CostLines!$O9="",TRUE(),W$4&lt;CostLines!$N9+CostLines!$O9)),CostLines!$P9,0))</f>
        <v>2500</v>
      </c>
      <c r="X33" s="17" t="n">
        <f aca="false">IF(CostLines!$F9="One-time",IF(X$4=CostLines!$N9,CostLines!$J9,0),IF(AND(X$4&gt;=CostLines!$N9,IF(CostLines!$O9="",TRUE(),X$4&lt;CostLines!$N9+CostLines!$O9)),CostLines!$P9,0))</f>
        <v>2500</v>
      </c>
      <c r="Y33" s="17" t="n">
        <f aca="false">IF(CostLines!$F9="One-time",IF(Y$4=CostLines!$N9,CostLines!$J9,0),IF(AND(Y$4&gt;=CostLines!$N9,IF(CostLines!$O9="",TRUE(),Y$4&lt;CostLines!$N9+CostLines!$O9)),CostLines!$P9,0))</f>
        <v>2500</v>
      </c>
      <c r="Z33" s="17" t="n">
        <f aca="false">IF(CostLines!$F9="One-time",IF(Z$4=CostLines!$N9,CostLines!$J9,0),IF(AND(Z$4&gt;=CostLines!$N9,IF(CostLines!$O9="",TRUE(),Z$4&lt;CostLines!$N9+CostLines!$O9)),CostLines!$P9,0))</f>
        <v>2500</v>
      </c>
      <c r="AA33" s="17" t="n">
        <f aca="false">IF(CostLines!$F9="One-time",IF(AA$4=CostLines!$N9,CostLines!$J9,0),IF(AND(AA$4&gt;=CostLines!$N9,IF(CostLines!$O9="",TRUE(),AA$4&lt;CostLines!$N9+CostLines!$O9)),CostLines!$P9,0))</f>
        <v>2500</v>
      </c>
      <c r="AB33" s="17" t="n">
        <f aca="false">IF(CostLines!$F9="One-time",IF(AB$4=CostLines!$N9,CostLines!$J9,0),IF(AND(AB$4&gt;=CostLines!$N9,IF(CostLines!$O9="",TRUE(),AB$4&lt;CostLines!$N9+CostLines!$O9)),CostLines!$P9,0))</f>
        <v>2500</v>
      </c>
      <c r="AC33" s="17" t="n">
        <f aca="false">IF(CostLines!$F9="One-time",IF(AC$4=CostLines!$N9,CostLines!$J9,0),IF(AND(AC$4&gt;=CostLines!$N9,IF(CostLines!$O9="",TRUE(),AC$4&lt;CostLines!$N9+CostLines!$O9)),CostLines!$P9,0))</f>
        <v>2500</v>
      </c>
      <c r="AD33" s="17" t="n">
        <f aca="false">IF(CostLines!$F9="One-time",IF(AD$4=CostLines!$N9,CostLines!$J9,0),IF(AND(AD$4&gt;=CostLines!$N9,IF(CostLines!$O9="",TRUE(),AD$4&lt;CostLines!$N9+CostLines!$O9)),CostLines!$P9,0))</f>
        <v>2500</v>
      </c>
      <c r="AE33" s="17" t="n">
        <f aca="false">IF(CostLines!$F9="One-time",IF(AE$4=CostLines!$N9,CostLines!$J9,0),IF(AND(AE$4&gt;=CostLines!$N9,IF(CostLines!$O9="",TRUE(),AE$4&lt;CostLines!$N9+CostLines!$O9)),CostLines!$P9,0))</f>
        <v>2500</v>
      </c>
      <c r="AF33" s="17" t="n">
        <f aca="false">IF(CostLines!$F9="One-time",IF(AF$4=CostLines!$N9,CostLines!$J9,0),IF(AND(AF$4&gt;=CostLines!$N9,IF(CostLines!$O9="",TRUE(),AF$4&lt;CostLines!$N9+CostLines!$O9)),CostLines!$P9,0))</f>
        <v>2500</v>
      </c>
      <c r="AG33" s="17" t="n">
        <f aca="false">IF(CostLines!$F9="One-time",IF(AG$4=CostLines!$N9,CostLines!$J9,0),IF(AND(AG$4&gt;=CostLines!$N9,IF(CostLines!$O9="",TRUE(),AG$4&lt;CostLines!$N9+CostLines!$O9)),CostLines!$P9,0))</f>
        <v>2500</v>
      </c>
      <c r="AH33" s="17" t="n">
        <f aca="false">IF(CostLines!$F9="One-time",IF(AH$4=CostLines!$N9,CostLines!$J9,0),IF(AND(AH$4&gt;=CostLines!$N9,IF(CostLines!$O9="",TRUE(),AH$4&lt;CostLines!$N9+CostLines!$O9)),CostLines!$P9,0))</f>
        <v>2500</v>
      </c>
      <c r="AI33" s="17" t="n">
        <f aca="false">IF(CostLines!$F9="One-time",IF(AI$4=CostLines!$N9,CostLines!$J9,0),IF(AND(AI$4&gt;=CostLines!$N9,IF(CostLines!$O9="",TRUE(),AI$4&lt;CostLines!$N9+CostLines!$O9)),CostLines!$P9,0))</f>
        <v>2500</v>
      </c>
      <c r="AJ33" s="17" t="n">
        <f aca="false">IF(CostLines!$F9="One-time",IF(AJ$4=CostLines!$N9,CostLines!$J9,0),IF(AND(AJ$4&gt;=CostLines!$N9,IF(CostLines!$O9="",TRUE(),AJ$4&lt;CostLines!$N9+CostLines!$O9)),CostLines!$P9,0))</f>
        <v>2500</v>
      </c>
      <c r="AK33" s="17" t="n">
        <f aca="false">IF(CostLines!$F9="One-time",IF(AK$4=CostLines!$N9,CostLines!$J9,0),IF(AND(AK$4&gt;=CostLines!$N9,IF(CostLines!$O9="",TRUE(),AK$4&lt;CostLines!$N9+CostLines!$O9)),CostLines!$P9,0))</f>
        <v>2500</v>
      </c>
      <c r="AL33" s="17" t="n">
        <f aca="false">IF(CostLines!$F9="One-time",IF(AL$4=CostLines!$N9,CostLines!$J9,0),IF(AND(AL$4&gt;=CostLines!$N9,IF(CostLines!$O9="",TRUE(),AL$4&lt;CostLines!$N9+CostLines!$O9)),CostLines!$P9,0))</f>
        <v>2500</v>
      </c>
      <c r="AM33" s="17" t="n">
        <f aca="false">IF(CostLines!$F9="One-time",IF(AM$4=CostLines!$N9,CostLines!$J9,0),IF(AND(AM$4&gt;=CostLines!$N9,IF(CostLines!$O9="",TRUE(),AM$4&lt;CostLines!$N9+CostLines!$O9)),CostLines!$P9,0))</f>
        <v>2500</v>
      </c>
      <c r="AN33" s="17" t="n">
        <f aca="false">IF(CostLines!$F9="One-time",IF(AN$4=CostLines!$N9,CostLines!$J9,0),IF(AND(AN$4&gt;=CostLines!$N9,IF(CostLines!$O9="",TRUE(),AN$4&lt;CostLines!$N9+CostLines!$O9)),CostLines!$P9,0))</f>
        <v>2500</v>
      </c>
      <c r="AO33" s="17" t="n">
        <f aca="false">IF(CostLines!$F9="One-time",IF(AO$4=CostLines!$N9,CostLines!$J9,0),IF(AND(AO$4&gt;=CostLines!$N9,IF(CostLines!$O9="",TRUE(),AO$4&lt;CostLines!$N9+CostLines!$O9)),CostLines!$P9,0))</f>
        <v>2500</v>
      </c>
    </row>
    <row r="34" customFormat="false" ht="15" hidden="false" customHeight="false" outlineLevel="0" collapsed="false">
      <c r="A34" s="24" t="str">
        <f aca="false">CostLines!B10</f>
        <v>Precision additive-manufacturing system (high-resolution AM with closed-loop process control)</v>
      </c>
      <c r="B34" s="24" t="str">
        <f aca="false">CostLines!C10</f>
        <v>EnergyWave, Inc.</v>
      </c>
      <c r="C34" s="24" t="str">
        <f aca="false">CostLines!D10</f>
        <v>Equipment</v>
      </c>
      <c r="D34" s="24" t="str">
        <f aca="false">CostLines!E10</f>
        <v>Additive manufacturing</v>
      </c>
      <c r="E34" s="30" t="n">
        <f aca="false">SUM(F34:AO34)</f>
        <v>750000</v>
      </c>
      <c r="F34" s="17" t="n">
        <f aca="false">IF(CostLines!$F10="One-time",IF(F$4=CostLines!$N10,CostLines!$J10,0),IF(AND(F$4&gt;=CostLines!$N10,IF(CostLines!$O10="",TRUE(),F$4&lt;CostLines!$N10+CostLines!$O10)),CostLines!$P10,0))</f>
        <v>0</v>
      </c>
      <c r="G34" s="17" t="n">
        <f aca="false">IF(CostLines!$F10="One-time",IF(G$4=CostLines!$N10,CostLines!$J10,0),IF(AND(G$4&gt;=CostLines!$N10,IF(CostLines!$O10="",TRUE(),G$4&lt;CostLines!$N10+CostLines!$O10)),CostLines!$P10,0))</f>
        <v>0</v>
      </c>
      <c r="H34" s="17" t="n">
        <f aca="false">IF(CostLines!$F10="One-time",IF(H$4=CostLines!$N10,CostLines!$J10,0),IF(AND(H$4&gt;=CostLines!$N10,IF(CostLines!$O10="",TRUE(),H$4&lt;CostLines!$N10+CostLines!$O10)),CostLines!$P10,0))</f>
        <v>750000</v>
      </c>
      <c r="I34" s="17" t="n">
        <f aca="false">IF(CostLines!$F10="One-time",IF(I$4=CostLines!$N10,CostLines!$J10,0),IF(AND(I$4&gt;=CostLines!$N10,IF(CostLines!$O10="",TRUE(),I$4&lt;CostLines!$N10+CostLines!$O10)),CostLines!$P10,0))</f>
        <v>0</v>
      </c>
      <c r="J34" s="17" t="n">
        <f aca="false">IF(CostLines!$F10="One-time",IF(J$4=CostLines!$N10,CostLines!$J10,0),IF(AND(J$4&gt;=CostLines!$N10,IF(CostLines!$O10="",TRUE(),J$4&lt;CostLines!$N10+CostLines!$O10)),CostLines!$P10,0))</f>
        <v>0</v>
      </c>
      <c r="K34" s="17" t="n">
        <f aca="false">IF(CostLines!$F10="One-time",IF(K$4=CostLines!$N10,CostLines!$J10,0),IF(AND(K$4&gt;=CostLines!$N10,IF(CostLines!$O10="",TRUE(),K$4&lt;CostLines!$N10+CostLines!$O10)),CostLines!$P10,0))</f>
        <v>0</v>
      </c>
      <c r="L34" s="17" t="n">
        <f aca="false">IF(CostLines!$F10="One-time",IF(L$4=CostLines!$N10,CostLines!$J10,0),IF(AND(L$4&gt;=CostLines!$N10,IF(CostLines!$O10="",TRUE(),L$4&lt;CostLines!$N10+CostLines!$O10)),CostLines!$P10,0))</f>
        <v>0</v>
      </c>
      <c r="M34" s="17" t="n">
        <f aca="false">IF(CostLines!$F10="One-time",IF(M$4=CostLines!$N10,CostLines!$J10,0),IF(AND(M$4&gt;=CostLines!$N10,IF(CostLines!$O10="",TRUE(),M$4&lt;CostLines!$N10+CostLines!$O10)),CostLines!$P10,0))</f>
        <v>0</v>
      </c>
      <c r="N34" s="17" t="n">
        <f aca="false">IF(CostLines!$F10="One-time",IF(N$4=CostLines!$N10,CostLines!$J10,0),IF(AND(N$4&gt;=CostLines!$N10,IF(CostLines!$O10="",TRUE(),N$4&lt;CostLines!$N10+CostLines!$O10)),CostLines!$P10,0))</f>
        <v>0</v>
      </c>
      <c r="O34" s="17" t="n">
        <f aca="false">IF(CostLines!$F10="One-time",IF(O$4=CostLines!$N10,CostLines!$J10,0),IF(AND(O$4&gt;=CostLines!$N10,IF(CostLines!$O10="",TRUE(),O$4&lt;CostLines!$N10+CostLines!$O10)),CostLines!$P10,0))</f>
        <v>0</v>
      </c>
      <c r="P34" s="17" t="n">
        <f aca="false">IF(CostLines!$F10="One-time",IF(P$4=CostLines!$N10,CostLines!$J10,0),IF(AND(P$4&gt;=CostLines!$N10,IF(CostLines!$O10="",TRUE(),P$4&lt;CostLines!$N10+CostLines!$O10)),CostLines!$P10,0))</f>
        <v>0</v>
      </c>
      <c r="Q34" s="17" t="n">
        <f aca="false">IF(CostLines!$F10="One-time",IF(Q$4=CostLines!$N10,CostLines!$J10,0),IF(AND(Q$4&gt;=CostLines!$N10,IF(CostLines!$O10="",TRUE(),Q$4&lt;CostLines!$N10+CostLines!$O10)),CostLines!$P10,0))</f>
        <v>0</v>
      </c>
      <c r="R34" s="17" t="n">
        <f aca="false">IF(CostLines!$F10="One-time",IF(R$4=CostLines!$N10,CostLines!$J10,0),IF(AND(R$4&gt;=CostLines!$N10,IF(CostLines!$O10="",TRUE(),R$4&lt;CostLines!$N10+CostLines!$O10)),CostLines!$P10,0))</f>
        <v>0</v>
      </c>
      <c r="S34" s="17" t="n">
        <f aca="false">IF(CostLines!$F10="One-time",IF(S$4=CostLines!$N10,CostLines!$J10,0),IF(AND(S$4&gt;=CostLines!$N10,IF(CostLines!$O10="",TRUE(),S$4&lt;CostLines!$N10+CostLines!$O10)),CostLines!$P10,0))</f>
        <v>0</v>
      </c>
      <c r="T34" s="17" t="n">
        <f aca="false">IF(CostLines!$F10="One-time",IF(T$4=CostLines!$N10,CostLines!$J10,0),IF(AND(T$4&gt;=CostLines!$N10,IF(CostLines!$O10="",TRUE(),T$4&lt;CostLines!$N10+CostLines!$O10)),CostLines!$P10,0))</f>
        <v>0</v>
      </c>
      <c r="U34" s="17" t="n">
        <f aca="false">IF(CostLines!$F10="One-time",IF(U$4=CostLines!$N10,CostLines!$J10,0),IF(AND(U$4&gt;=CostLines!$N10,IF(CostLines!$O10="",TRUE(),U$4&lt;CostLines!$N10+CostLines!$O10)),CostLines!$P10,0))</f>
        <v>0</v>
      </c>
      <c r="V34" s="17" t="n">
        <f aca="false">IF(CostLines!$F10="One-time",IF(V$4=CostLines!$N10,CostLines!$J10,0),IF(AND(V$4&gt;=CostLines!$N10,IF(CostLines!$O10="",TRUE(),V$4&lt;CostLines!$N10+CostLines!$O10)),CostLines!$P10,0))</f>
        <v>0</v>
      </c>
      <c r="W34" s="17" t="n">
        <f aca="false">IF(CostLines!$F10="One-time",IF(W$4=CostLines!$N10,CostLines!$J10,0),IF(AND(W$4&gt;=CostLines!$N10,IF(CostLines!$O10="",TRUE(),W$4&lt;CostLines!$N10+CostLines!$O10)),CostLines!$P10,0))</f>
        <v>0</v>
      </c>
      <c r="X34" s="17" t="n">
        <f aca="false">IF(CostLines!$F10="One-time",IF(X$4=CostLines!$N10,CostLines!$J10,0),IF(AND(X$4&gt;=CostLines!$N10,IF(CostLines!$O10="",TRUE(),X$4&lt;CostLines!$N10+CostLines!$O10)),CostLines!$P10,0))</f>
        <v>0</v>
      </c>
      <c r="Y34" s="17" t="n">
        <f aca="false">IF(CostLines!$F10="One-time",IF(Y$4=CostLines!$N10,CostLines!$J10,0),IF(AND(Y$4&gt;=CostLines!$N10,IF(CostLines!$O10="",TRUE(),Y$4&lt;CostLines!$N10+CostLines!$O10)),CostLines!$P10,0))</f>
        <v>0</v>
      </c>
      <c r="Z34" s="17" t="n">
        <f aca="false">IF(CostLines!$F10="One-time",IF(Z$4=CostLines!$N10,CostLines!$J10,0),IF(AND(Z$4&gt;=CostLines!$N10,IF(CostLines!$O10="",TRUE(),Z$4&lt;CostLines!$N10+CostLines!$O10)),CostLines!$P10,0))</f>
        <v>0</v>
      </c>
      <c r="AA34" s="17" t="n">
        <f aca="false">IF(CostLines!$F10="One-time",IF(AA$4=CostLines!$N10,CostLines!$J10,0),IF(AND(AA$4&gt;=CostLines!$N10,IF(CostLines!$O10="",TRUE(),AA$4&lt;CostLines!$N10+CostLines!$O10)),CostLines!$P10,0))</f>
        <v>0</v>
      </c>
      <c r="AB34" s="17" t="n">
        <f aca="false">IF(CostLines!$F10="One-time",IF(AB$4=CostLines!$N10,CostLines!$J10,0),IF(AND(AB$4&gt;=CostLines!$N10,IF(CostLines!$O10="",TRUE(),AB$4&lt;CostLines!$N10+CostLines!$O10)),CostLines!$P10,0))</f>
        <v>0</v>
      </c>
      <c r="AC34" s="17" t="n">
        <f aca="false">IF(CostLines!$F10="One-time",IF(AC$4=CostLines!$N10,CostLines!$J10,0),IF(AND(AC$4&gt;=CostLines!$N10,IF(CostLines!$O10="",TRUE(),AC$4&lt;CostLines!$N10+CostLines!$O10)),CostLines!$P10,0))</f>
        <v>0</v>
      </c>
      <c r="AD34" s="17" t="n">
        <f aca="false">IF(CostLines!$F10="One-time",IF(AD$4=CostLines!$N10,CostLines!$J10,0),IF(AND(AD$4&gt;=CostLines!$N10,IF(CostLines!$O10="",TRUE(),AD$4&lt;CostLines!$N10+CostLines!$O10)),CostLines!$P10,0))</f>
        <v>0</v>
      </c>
      <c r="AE34" s="17" t="n">
        <f aca="false">IF(CostLines!$F10="One-time",IF(AE$4=CostLines!$N10,CostLines!$J10,0),IF(AND(AE$4&gt;=CostLines!$N10,IF(CostLines!$O10="",TRUE(),AE$4&lt;CostLines!$N10+CostLines!$O10)),CostLines!$P10,0))</f>
        <v>0</v>
      </c>
      <c r="AF34" s="17" t="n">
        <f aca="false">IF(CostLines!$F10="One-time",IF(AF$4=CostLines!$N10,CostLines!$J10,0),IF(AND(AF$4&gt;=CostLines!$N10,IF(CostLines!$O10="",TRUE(),AF$4&lt;CostLines!$N10+CostLines!$O10)),CostLines!$P10,0))</f>
        <v>0</v>
      </c>
      <c r="AG34" s="17" t="n">
        <f aca="false">IF(CostLines!$F10="One-time",IF(AG$4=CostLines!$N10,CostLines!$J10,0),IF(AND(AG$4&gt;=CostLines!$N10,IF(CostLines!$O10="",TRUE(),AG$4&lt;CostLines!$N10+CostLines!$O10)),CostLines!$P10,0))</f>
        <v>0</v>
      </c>
      <c r="AH34" s="17" t="n">
        <f aca="false">IF(CostLines!$F10="One-time",IF(AH$4=CostLines!$N10,CostLines!$J10,0),IF(AND(AH$4&gt;=CostLines!$N10,IF(CostLines!$O10="",TRUE(),AH$4&lt;CostLines!$N10+CostLines!$O10)),CostLines!$P10,0))</f>
        <v>0</v>
      </c>
      <c r="AI34" s="17" t="n">
        <f aca="false">IF(CostLines!$F10="One-time",IF(AI$4=CostLines!$N10,CostLines!$J10,0),IF(AND(AI$4&gt;=CostLines!$N10,IF(CostLines!$O10="",TRUE(),AI$4&lt;CostLines!$N10+CostLines!$O10)),CostLines!$P10,0))</f>
        <v>0</v>
      </c>
      <c r="AJ34" s="17" t="n">
        <f aca="false">IF(CostLines!$F10="One-time",IF(AJ$4=CostLines!$N10,CostLines!$J10,0),IF(AND(AJ$4&gt;=CostLines!$N10,IF(CostLines!$O10="",TRUE(),AJ$4&lt;CostLines!$N10+CostLines!$O10)),CostLines!$P10,0))</f>
        <v>0</v>
      </c>
      <c r="AK34" s="17" t="n">
        <f aca="false">IF(CostLines!$F10="One-time",IF(AK$4=CostLines!$N10,CostLines!$J10,0),IF(AND(AK$4&gt;=CostLines!$N10,IF(CostLines!$O10="",TRUE(),AK$4&lt;CostLines!$N10+CostLines!$O10)),CostLines!$P10,0))</f>
        <v>0</v>
      </c>
      <c r="AL34" s="17" t="n">
        <f aca="false">IF(CostLines!$F10="One-time",IF(AL$4=CostLines!$N10,CostLines!$J10,0),IF(AND(AL$4&gt;=CostLines!$N10,IF(CostLines!$O10="",TRUE(),AL$4&lt;CostLines!$N10+CostLines!$O10)),CostLines!$P10,0))</f>
        <v>0</v>
      </c>
      <c r="AM34" s="17" t="n">
        <f aca="false">IF(CostLines!$F10="One-time",IF(AM$4=CostLines!$N10,CostLines!$J10,0),IF(AND(AM$4&gt;=CostLines!$N10,IF(CostLines!$O10="",TRUE(),AM$4&lt;CostLines!$N10+CostLines!$O10)),CostLines!$P10,0))</f>
        <v>0</v>
      </c>
      <c r="AN34" s="17" t="n">
        <f aca="false">IF(CostLines!$F10="One-time",IF(AN$4=CostLines!$N10,CostLines!$J10,0),IF(AND(AN$4&gt;=CostLines!$N10,IF(CostLines!$O10="",TRUE(),AN$4&lt;CostLines!$N10+CostLines!$O10)),CostLines!$P10,0))</f>
        <v>0</v>
      </c>
      <c r="AO34" s="17" t="n">
        <f aca="false">IF(CostLines!$F10="One-time",IF(AO$4=CostLines!$N10,CostLines!$J10,0),IF(AND(AO$4&gt;=CostLines!$N10,IF(CostLines!$O10="",TRUE(),AO$4&lt;CostLines!$N10+CostLines!$O10)),CostLines!$P10,0))</f>
        <v>0</v>
      </c>
    </row>
    <row r="35" customFormat="false" ht="15" hidden="false" customHeight="false" outlineLevel="0" collapsed="false">
      <c r="A35" s="24" t="str">
        <f aca="false">CostLines!B11</f>
        <v>AM service contract &amp; software</v>
      </c>
      <c r="B35" s="24" t="str">
        <f aca="false">CostLines!C11</f>
        <v>EnergyWave, Inc.</v>
      </c>
      <c r="C35" s="24" t="str">
        <f aca="false">CostLines!D11</f>
        <v>Equipment</v>
      </c>
      <c r="D35" s="24" t="str">
        <f aca="false">CostLines!E11</f>
        <v>Additive manufacturing</v>
      </c>
      <c r="E35" s="30" t="n">
        <f aca="false">SUM(F35:AO35)</f>
        <v>110000</v>
      </c>
      <c r="F35" s="17" t="n">
        <f aca="false">IF(CostLines!$F11="One-time",IF(F$4=CostLines!$N11,CostLines!$J11,0),IF(AND(F$4&gt;=CostLines!$N11,IF(CostLines!$O11="",TRUE(),F$4&lt;CostLines!$N11+CostLines!$O11)),CostLines!$P11,0))</f>
        <v>0</v>
      </c>
      <c r="G35" s="17" t="n">
        <f aca="false">IF(CostLines!$F11="One-time",IF(G$4=CostLines!$N11,CostLines!$J11,0),IF(AND(G$4&gt;=CostLines!$N11,IF(CostLines!$O11="",TRUE(),G$4&lt;CostLines!$N11+CostLines!$O11)),CostLines!$P11,0))</f>
        <v>0</v>
      </c>
      <c r="H35" s="17" t="n">
        <f aca="false">IF(CostLines!$F11="One-time",IF(H$4=CostLines!$N11,CostLines!$J11,0),IF(AND(H$4&gt;=CostLines!$N11,IF(CostLines!$O11="",TRUE(),H$4&lt;CostLines!$N11+CostLines!$O11)),CostLines!$P11,0))</f>
        <v>0</v>
      </c>
      <c r="I35" s="17" t="n">
        <f aca="false">IF(CostLines!$F11="One-time",IF(I$4=CostLines!$N11,CostLines!$J11,0),IF(AND(I$4&gt;=CostLines!$N11,IF(CostLines!$O11="",TRUE(),I$4&lt;CostLines!$N11+CostLines!$O11)),CostLines!$P11,0))</f>
        <v>3333.33333333333</v>
      </c>
      <c r="J35" s="17" t="n">
        <f aca="false">IF(CostLines!$F11="One-time",IF(J$4=CostLines!$N11,CostLines!$J11,0),IF(AND(J$4&gt;=CostLines!$N11,IF(CostLines!$O11="",TRUE(),J$4&lt;CostLines!$N11+CostLines!$O11)),CostLines!$P11,0))</f>
        <v>3333.33333333333</v>
      </c>
      <c r="K35" s="17" t="n">
        <f aca="false">IF(CostLines!$F11="One-time",IF(K$4=CostLines!$N11,CostLines!$J11,0),IF(AND(K$4&gt;=CostLines!$N11,IF(CostLines!$O11="",TRUE(),K$4&lt;CostLines!$N11+CostLines!$O11)),CostLines!$P11,0))</f>
        <v>3333.33333333333</v>
      </c>
      <c r="L35" s="17" t="n">
        <f aca="false">IF(CostLines!$F11="One-time",IF(L$4=CostLines!$N11,CostLines!$J11,0),IF(AND(L$4&gt;=CostLines!$N11,IF(CostLines!$O11="",TRUE(),L$4&lt;CostLines!$N11+CostLines!$O11)),CostLines!$P11,0))</f>
        <v>3333.33333333333</v>
      </c>
      <c r="M35" s="17" t="n">
        <f aca="false">IF(CostLines!$F11="One-time",IF(M$4=CostLines!$N11,CostLines!$J11,0),IF(AND(M$4&gt;=CostLines!$N11,IF(CostLines!$O11="",TRUE(),M$4&lt;CostLines!$N11+CostLines!$O11)),CostLines!$P11,0))</f>
        <v>3333.33333333333</v>
      </c>
      <c r="N35" s="17" t="n">
        <f aca="false">IF(CostLines!$F11="One-time",IF(N$4=CostLines!$N11,CostLines!$J11,0),IF(AND(N$4&gt;=CostLines!$N11,IF(CostLines!$O11="",TRUE(),N$4&lt;CostLines!$N11+CostLines!$O11)),CostLines!$P11,0))</f>
        <v>3333.33333333333</v>
      </c>
      <c r="O35" s="17" t="n">
        <f aca="false">IF(CostLines!$F11="One-time",IF(O$4=CostLines!$N11,CostLines!$J11,0),IF(AND(O$4&gt;=CostLines!$N11,IF(CostLines!$O11="",TRUE(),O$4&lt;CostLines!$N11+CostLines!$O11)),CostLines!$P11,0))</f>
        <v>3333.33333333333</v>
      </c>
      <c r="P35" s="17" t="n">
        <f aca="false">IF(CostLines!$F11="One-time",IF(P$4=CostLines!$N11,CostLines!$J11,0),IF(AND(P$4&gt;=CostLines!$N11,IF(CostLines!$O11="",TRUE(),P$4&lt;CostLines!$N11+CostLines!$O11)),CostLines!$P11,0))</f>
        <v>3333.33333333333</v>
      </c>
      <c r="Q35" s="17" t="n">
        <f aca="false">IF(CostLines!$F11="One-time",IF(Q$4=CostLines!$N11,CostLines!$J11,0),IF(AND(Q$4&gt;=CostLines!$N11,IF(CostLines!$O11="",TRUE(),Q$4&lt;CostLines!$N11+CostLines!$O11)),CostLines!$P11,0))</f>
        <v>3333.33333333333</v>
      </c>
      <c r="R35" s="17" t="n">
        <f aca="false">IF(CostLines!$F11="One-time",IF(R$4=CostLines!$N11,CostLines!$J11,0),IF(AND(R$4&gt;=CostLines!$N11,IF(CostLines!$O11="",TRUE(),R$4&lt;CostLines!$N11+CostLines!$O11)),CostLines!$P11,0))</f>
        <v>3333.33333333333</v>
      </c>
      <c r="S35" s="17" t="n">
        <f aca="false">IF(CostLines!$F11="One-time",IF(S$4=CostLines!$N11,CostLines!$J11,0),IF(AND(S$4&gt;=CostLines!$N11,IF(CostLines!$O11="",TRUE(),S$4&lt;CostLines!$N11+CostLines!$O11)),CostLines!$P11,0))</f>
        <v>3333.33333333333</v>
      </c>
      <c r="T35" s="17" t="n">
        <f aca="false">IF(CostLines!$F11="One-time",IF(T$4=CostLines!$N11,CostLines!$J11,0),IF(AND(T$4&gt;=CostLines!$N11,IF(CostLines!$O11="",TRUE(),T$4&lt;CostLines!$N11+CostLines!$O11)),CostLines!$P11,0))</f>
        <v>3333.33333333333</v>
      </c>
      <c r="U35" s="17" t="n">
        <f aca="false">IF(CostLines!$F11="One-time",IF(U$4=CostLines!$N11,CostLines!$J11,0),IF(AND(U$4&gt;=CostLines!$N11,IF(CostLines!$O11="",TRUE(),U$4&lt;CostLines!$N11+CostLines!$O11)),CostLines!$P11,0))</f>
        <v>3333.33333333333</v>
      </c>
      <c r="V35" s="17" t="n">
        <f aca="false">IF(CostLines!$F11="One-time",IF(V$4=CostLines!$N11,CostLines!$J11,0),IF(AND(V$4&gt;=CostLines!$N11,IF(CostLines!$O11="",TRUE(),V$4&lt;CostLines!$N11+CostLines!$O11)),CostLines!$P11,0))</f>
        <v>3333.33333333333</v>
      </c>
      <c r="W35" s="17" t="n">
        <f aca="false">IF(CostLines!$F11="One-time",IF(W$4=CostLines!$N11,CostLines!$J11,0),IF(AND(W$4&gt;=CostLines!$N11,IF(CostLines!$O11="",TRUE(),W$4&lt;CostLines!$N11+CostLines!$O11)),CostLines!$P11,0))</f>
        <v>3333.33333333333</v>
      </c>
      <c r="X35" s="17" t="n">
        <f aca="false">IF(CostLines!$F11="One-time",IF(X$4=CostLines!$N11,CostLines!$J11,0),IF(AND(X$4&gt;=CostLines!$N11,IF(CostLines!$O11="",TRUE(),X$4&lt;CostLines!$N11+CostLines!$O11)),CostLines!$P11,0))</f>
        <v>3333.33333333333</v>
      </c>
      <c r="Y35" s="17" t="n">
        <f aca="false">IF(CostLines!$F11="One-time",IF(Y$4=CostLines!$N11,CostLines!$J11,0),IF(AND(Y$4&gt;=CostLines!$N11,IF(CostLines!$O11="",TRUE(),Y$4&lt;CostLines!$N11+CostLines!$O11)),CostLines!$P11,0))</f>
        <v>3333.33333333333</v>
      </c>
      <c r="Z35" s="17" t="n">
        <f aca="false">IF(CostLines!$F11="One-time",IF(Z$4=CostLines!$N11,CostLines!$J11,0),IF(AND(Z$4&gt;=CostLines!$N11,IF(CostLines!$O11="",TRUE(),Z$4&lt;CostLines!$N11+CostLines!$O11)),CostLines!$P11,0))</f>
        <v>3333.33333333333</v>
      </c>
      <c r="AA35" s="17" t="n">
        <f aca="false">IF(CostLines!$F11="One-time",IF(AA$4=CostLines!$N11,CostLines!$J11,0),IF(AND(AA$4&gt;=CostLines!$N11,IF(CostLines!$O11="",TRUE(),AA$4&lt;CostLines!$N11+CostLines!$O11)),CostLines!$P11,0))</f>
        <v>3333.33333333333</v>
      </c>
      <c r="AB35" s="17" t="n">
        <f aca="false">IF(CostLines!$F11="One-time",IF(AB$4=CostLines!$N11,CostLines!$J11,0),IF(AND(AB$4&gt;=CostLines!$N11,IF(CostLines!$O11="",TRUE(),AB$4&lt;CostLines!$N11+CostLines!$O11)),CostLines!$P11,0))</f>
        <v>3333.33333333333</v>
      </c>
      <c r="AC35" s="17" t="n">
        <f aca="false">IF(CostLines!$F11="One-time",IF(AC$4=CostLines!$N11,CostLines!$J11,0),IF(AND(AC$4&gt;=CostLines!$N11,IF(CostLines!$O11="",TRUE(),AC$4&lt;CostLines!$N11+CostLines!$O11)),CostLines!$P11,0))</f>
        <v>3333.33333333333</v>
      </c>
      <c r="AD35" s="17" t="n">
        <f aca="false">IF(CostLines!$F11="One-time",IF(AD$4=CostLines!$N11,CostLines!$J11,0),IF(AND(AD$4&gt;=CostLines!$N11,IF(CostLines!$O11="",TRUE(),AD$4&lt;CostLines!$N11+CostLines!$O11)),CostLines!$P11,0))</f>
        <v>3333.33333333333</v>
      </c>
      <c r="AE35" s="17" t="n">
        <f aca="false">IF(CostLines!$F11="One-time",IF(AE$4=CostLines!$N11,CostLines!$J11,0),IF(AND(AE$4&gt;=CostLines!$N11,IF(CostLines!$O11="",TRUE(),AE$4&lt;CostLines!$N11+CostLines!$O11)),CostLines!$P11,0))</f>
        <v>3333.33333333333</v>
      </c>
      <c r="AF35" s="17" t="n">
        <f aca="false">IF(CostLines!$F11="One-time",IF(AF$4=CostLines!$N11,CostLines!$J11,0),IF(AND(AF$4&gt;=CostLines!$N11,IF(CostLines!$O11="",TRUE(),AF$4&lt;CostLines!$N11+CostLines!$O11)),CostLines!$P11,0))</f>
        <v>3333.33333333333</v>
      </c>
      <c r="AG35" s="17" t="n">
        <f aca="false">IF(CostLines!$F11="One-time",IF(AG$4=CostLines!$N11,CostLines!$J11,0),IF(AND(AG$4&gt;=CostLines!$N11,IF(CostLines!$O11="",TRUE(),AG$4&lt;CostLines!$N11+CostLines!$O11)),CostLines!$P11,0))</f>
        <v>3333.33333333333</v>
      </c>
      <c r="AH35" s="17" t="n">
        <f aca="false">IF(CostLines!$F11="One-time",IF(AH$4=CostLines!$N11,CostLines!$J11,0),IF(AND(AH$4&gt;=CostLines!$N11,IF(CostLines!$O11="",TRUE(),AH$4&lt;CostLines!$N11+CostLines!$O11)),CostLines!$P11,0))</f>
        <v>3333.33333333333</v>
      </c>
      <c r="AI35" s="17" t="n">
        <f aca="false">IF(CostLines!$F11="One-time",IF(AI$4=CostLines!$N11,CostLines!$J11,0),IF(AND(AI$4&gt;=CostLines!$N11,IF(CostLines!$O11="",TRUE(),AI$4&lt;CostLines!$N11+CostLines!$O11)),CostLines!$P11,0))</f>
        <v>3333.33333333333</v>
      </c>
      <c r="AJ35" s="17" t="n">
        <f aca="false">IF(CostLines!$F11="One-time",IF(AJ$4=CostLines!$N11,CostLines!$J11,0),IF(AND(AJ$4&gt;=CostLines!$N11,IF(CostLines!$O11="",TRUE(),AJ$4&lt;CostLines!$N11+CostLines!$O11)),CostLines!$P11,0))</f>
        <v>3333.33333333333</v>
      </c>
      <c r="AK35" s="17" t="n">
        <f aca="false">IF(CostLines!$F11="One-time",IF(AK$4=CostLines!$N11,CostLines!$J11,0),IF(AND(AK$4&gt;=CostLines!$N11,IF(CostLines!$O11="",TRUE(),AK$4&lt;CostLines!$N11+CostLines!$O11)),CostLines!$P11,0))</f>
        <v>3333.33333333333</v>
      </c>
      <c r="AL35" s="17" t="n">
        <f aca="false">IF(CostLines!$F11="One-time",IF(AL$4=CostLines!$N11,CostLines!$J11,0),IF(AND(AL$4&gt;=CostLines!$N11,IF(CostLines!$O11="",TRUE(),AL$4&lt;CostLines!$N11+CostLines!$O11)),CostLines!$P11,0))</f>
        <v>3333.33333333333</v>
      </c>
      <c r="AM35" s="17" t="n">
        <f aca="false">IF(CostLines!$F11="One-time",IF(AM$4=CostLines!$N11,CostLines!$J11,0),IF(AND(AM$4&gt;=CostLines!$N11,IF(CostLines!$O11="",TRUE(),AM$4&lt;CostLines!$N11+CostLines!$O11)),CostLines!$P11,0))</f>
        <v>3333.33333333333</v>
      </c>
      <c r="AN35" s="17" t="n">
        <f aca="false">IF(CostLines!$F11="One-time",IF(AN$4=CostLines!$N11,CostLines!$J11,0),IF(AND(AN$4&gt;=CostLines!$N11,IF(CostLines!$O11="",TRUE(),AN$4&lt;CostLines!$N11+CostLines!$O11)),CostLines!$P11,0))</f>
        <v>3333.33333333333</v>
      </c>
      <c r="AO35" s="17" t="n">
        <f aca="false">IF(CostLines!$F11="One-time",IF(AO$4=CostLines!$N11,CostLines!$J11,0),IF(AND(AO$4&gt;=CostLines!$N11,IF(CostLines!$O11="",TRUE(),AO$4&lt;CostLines!$N11+CostLines!$O11)),CostLines!$P11,0))</f>
        <v>3333.33333333333</v>
      </c>
    </row>
    <row r="36" customFormat="false" ht="15" hidden="false" customHeight="false" outlineLevel="0" collapsed="false">
      <c r="A36" s="24" t="str">
        <f aca="false">CostLines!B12</f>
        <v>AM feedstock &amp; lab consumables</v>
      </c>
      <c r="B36" s="24" t="str">
        <f aca="false">CostLines!C12</f>
        <v>EnergyWave, Inc.</v>
      </c>
      <c r="C36" s="24" t="str">
        <f aca="false">CostLines!D12</f>
        <v>Operations</v>
      </c>
      <c r="D36" s="24" t="str">
        <f aca="false">CostLines!E12</f>
        <v>Consumables</v>
      </c>
      <c r="E36" s="30" t="n">
        <f aca="false">SUM(F36:AO36)</f>
        <v>340000</v>
      </c>
      <c r="F36" s="17" t="n">
        <f aca="false">IF(CostLines!$F12="One-time",IF(F$4=CostLines!$N12,CostLines!$J12,0),IF(AND(F$4&gt;=CostLines!$N12,IF(CostLines!$O12="",TRUE(),F$4&lt;CostLines!$N12+CostLines!$O12)),CostLines!$P12,0))</f>
        <v>0</v>
      </c>
      <c r="G36" s="17" t="n">
        <f aca="false">IF(CostLines!$F12="One-time",IF(G$4=CostLines!$N12,CostLines!$J12,0),IF(AND(G$4&gt;=CostLines!$N12,IF(CostLines!$O12="",TRUE(),G$4&lt;CostLines!$N12+CostLines!$O12)),CostLines!$P12,0))</f>
        <v>0</v>
      </c>
      <c r="H36" s="17" t="n">
        <f aca="false">IF(CostLines!$F12="One-time",IF(H$4=CostLines!$N12,CostLines!$J12,0),IF(AND(H$4&gt;=CostLines!$N12,IF(CostLines!$O12="",TRUE(),H$4&lt;CostLines!$N12+CostLines!$O12)),CostLines!$P12,0))</f>
        <v>10000</v>
      </c>
      <c r="I36" s="17" t="n">
        <f aca="false">IF(CostLines!$F12="One-time",IF(I$4=CostLines!$N12,CostLines!$J12,0),IF(AND(I$4&gt;=CostLines!$N12,IF(CostLines!$O12="",TRUE(),I$4&lt;CostLines!$N12+CostLines!$O12)),CostLines!$P12,0))</f>
        <v>10000</v>
      </c>
      <c r="J36" s="17" t="n">
        <f aca="false">IF(CostLines!$F12="One-time",IF(J$4=CostLines!$N12,CostLines!$J12,0),IF(AND(J$4&gt;=CostLines!$N12,IF(CostLines!$O12="",TRUE(),J$4&lt;CostLines!$N12+CostLines!$O12)),CostLines!$P12,0))</f>
        <v>10000</v>
      </c>
      <c r="K36" s="17" t="n">
        <f aca="false">IF(CostLines!$F12="One-time",IF(K$4=CostLines!$N12,CostLines!$J12,0),IF(AND(K$4&gt;=CostLines!$N12,IF(CostLines!$O12="",TRUE(),K$4&lt;CostLines!$N12+CostLines!$O12)),CostLines!$P12,0))</f>
        <v>10000</v>
      </c>
      <c r="L36" s="17" t="n">
        <f aca="false">IF(CostLines!$F12="One-time",IF(L$4=CostLines!$N12,CostLines!$J12,0),IF(AND(L$4&gt;=CostLines!$N12,IF(CostLines!$O12="",TRUE(),L$4&lt;CostLines!$N12+CostLines!$O12)),CostLines!$P12,0))</f>
        <v>10000</v>
      </c>
      <c r="M36" s="17" t="n">
        <f aca="false">IF(CostLines!$F12="One-time",IF(M$4=CostLines!$N12,CostLines!$J12,0),IF(AND(M$4&gt;=CostLines!$N12,IF(CostLines!$O12="",TRUE(),M$4&lt;CostLines!$N12+CostLines!$O12)),CostLines!$P12,0))</f>
        <v>10000</v>
      </c>
      <c r="N36" s="17" t="n">
        <f aca="false">IF(CostLines!$F12="One-time",IF(N$4=CostLines!$N12,CostLines!$J12,0),IF(AND(N$4&gt;=CostLines!$N12,IF(CostLines!$O12="",TRUE(),N$4&lt;CostLines!$N12+CostLines!$O12)),CostLines!$P12,0))</f>
        <v>10000</v>
      </c>
      <c r="O36" s="17" t="n">
        <f aca="false">IF(CostLines!$F12="One-time",IF(O$4=CostLines!$N12,CostLines!$J12,0),IF(AND(O$4&gt;=CostLines!$N12,IF(CostLines!$O12="",TRUE(),O$4&lt;CostLines!$N12+CostLines!$O12)),CostLines!$P12,0))</f>
        <v>10000</v>
      </c>
      <c r="P36" s="17" t="n">
        <f aca="false">IF(CostLines!$F12="One-time",IF(P$4=CostLines!$N12,CostLines!$J12,0),IF(AND(P$4&gt;=CostLines!$N12,IF(CostLines!$O12="",TRUE(),P$4&lt;CostLines!$N12+CostLines!$O12)),CostLines!$P12,0))</f>
        <v>10000</v>
      </c>
      <c r="Q36" s="17" t="n">
        <f aca="false">IF(CostLines!$F12="One-time",IF(Q$4=CostLines!$N12,CostLines!$J12,0),IF(AND(Q$4&gt;=CostLines!$N12,IF(CostLines!$O12="",TRUE(),Q$4&lt;CostLines!$N12+CostLines!$O12)),CostLines!$P12,0))</f>
        <v>10000</v>
      </c>
      <c r="R36" s="17" t="n">
        <f aca="false">IF(CostLines!$F12="One-time",IF(R$4=CostLines!$N12,CostLines!$J12,0),IF(AND(R$4&gt;=CostLines!$N12,IF(CostLines!$O12="",TRUE(),R$4&lt;CostLines!$N12+CostLines!$O12)),CostLines!$P12,0))</f>
        <v>10000</v>
      </c>
      <c r="S36" s="17" t="n">
        <f aca="false">IF(CostLines!$F12="One-time",IF(S$4=CostLines!$N12,CostLines!$J12,0),IF(AND(S$4&gt;=CostLines!$N12,IF(CostLines!$O12="",TRUE(),S$4&lt;CostLines!$N12+CostLines!$O12)),CostLines!$P12,0))</f>
        <v>10000</v>
      </c>
      <c r="T36" s="17" t="n">
        <f aca="false">IF(CostLines!$F12="One-time",IF(T$4=CostLines!$N12,CostLines!$J12,0),IF(AND(T$4&gt;=CostLines!$N12,IF(CostLines!$O12="",TRUE(),T$4&lt;CostLines!$N12+CostLines!$O12)),CostLines!$P12,0))</f>
        <v>10000</v>
      </c>
      <c r="U36" s="17" t="n">
        <f aca="false">IF(CostLines!$F12="One-time",IF(U$4=CostLines!$N12,CostLines!$J12,0),IF(AND(U$4&gt;=CostLines!$N12,IF(CostLines!$O12="",TRUE(),U$4&lt;CostLines!$N12+CostLines!$O12)),CostLines!$P12,0))</f>
        <v>10000</v>
      </c>
      <c r="V36" s="17" t="n">
        <f aca="false">IF(CostLines!$F12="One-time",IF(V$4=CostLines!$N12,CostLines!$J12,0),IF(AND(V$4&gt;=CostLines!$N12,IF(CostLines!$O12="",TRUE(),V$4&lt;CostLines!$N12+CostLines!$O12)),CostLines!$P12,0))</f>
        <v>10000</v>
      </c>
      <c r="W36" s="17" t="n">
        <f aca="false">IF(CostLines!$F12="One-time",IF(W$4=CostLines!$N12,CostLines!$J12,0),IF(AND(W$4&gt;=CostLines!$N12,IF(CostLines!$O12="",TRUE(),W$4&lt;CostLines!$N12+CostLines!$O12)),CostLines!$P12,0))</f>
        <v>10000</v>
      </c>
      <c r="X36" s="17" t="n">
        <f aca="false">IF(CostLines!$F12="One-time",IF(X$4=CostLines!$N12,CostLines!$J12,0),IF(AND(X$4&gt;=CostLines!$N12,IF(CostLines!$O12="",TRUE(),X$4&lt;CostLines!$N12+CostLines!$O12)),CostLines!$P12,0))</f>
        <v>10000</v>
      </c>
      <c r="Y36" s="17" t="n">
        <f aca="false">IF(CostLines!$F12="One-time",IF(Y$4=CostLines!$N12,CostLines!$J12,0),IF(AND(Y$4&gt;=CostLines!$N12,IF(CostLines!$O12="",TRUE(),Y$4&lt;CostLines!$N12+CostLines!$O12)),CostLines!$P12,0))</f>
        <v>10000</v>
      </c>
      <c r="Z36" s="17" t="n">
        <f aca="false">IF(CostLines!$F12="One-time",IF(Z$4=CostLines!$N12,CostLines!$J12,0),IF(AND(Z$4&gt;=CostLines!$N12,IF(CostLines!$O12="",TRUE(),Z$4&lt;CostLines!$N12+CostLines!$O12)),CostLines!$P12,0))</f>
        <v>10000</v>
      </c>
      <c r="AA36" s="17" t="n">
        <f aca="false">IF(CostLines!$F12="One-time",IF(AA$4=CostLines!$N12,CostLines!$J12,0),IF(AND(AA$4&gt;=CostLines!$N12,IF(CostLines!$O12="",TRUE(),AA$4&lt;CostLines!$N12+CostLines!$O12)),CostLines!$P12,0))</f>
        <v>10000</v>
      </c>
      <c r="AB36" s="17" t="n">
        <f aca="false">IF(CostLines!$F12="One-time",IF(AB$4=CostLines!$N12,CostLines!$J12,0),IF(AND(AB$4&gt;=CostLines!$N12,IF(CostLines!$O12="",TRUE(),AB$4&lt;CostLines!$N12+CostLines!$O12)),CostLines!$P12,0))</f>
        <v>10000</v>
      </c>
      <c r="AC36" s="17" t="n">
        <f aca="false">IF(CostLines!$F12="One-time",IF(AC$4=CostLines!$N12,CostLines!$J12,0),IF(AND(AC$4&gt;=CostLines!$N12,IF(CostLines!$O12="",TRUE(),AC$4&lt;CostLines!$N12+CostLines!$O12)),CostLines!$P12,0))</f>
        <v>10000</v>
      </c>
      <c r="AD36" s="17" t="n">
        <f aca="false">IF(CostLines!$F12="One-time",IF(AD$4=CostLines!$N12,CostLines!$J12,0),IF(AND(AD$4&gt;=CostLines!$N12,IF(CostLines!$O12="",TRUE(),AD$4&lt;CostLines!$N12+CostLines!$O12)),CostLines!$P12,0))</f>
        <v>10000</v>
      </c>
      <c r="AE36" s="17" t="n">
        <f aca="false">IF(CostLines!$F12="One-time",IF(AE$4=CostLines!$N12,CostLines!$J12,0),IF(AND(AE$4&gt;=CostLines!$N12,IF(CostLines!$O12="",TRUE(),AE$4&lt;CostLines!$N12+CostLines!$O12)),CostLines!$P12,0))</f>
        <v>10000</v>
      </c>
      <c r="AF36" s="17" t="n">
        <f aca="false">IF(CostLines!$F12="One-time",IF(AF$4=CostLines!$N12,CostLines!$J12,0),IF(AND(AF$4&gt;=CostLines!$N12,IF(CostLines!$O12="",TRUE(),AF$4&lt;CostLines!$N12+CostLines!$O12)),CostLines!$P12,0))</f>
        <v>10000</v>
      </c>
      <c r="AG36" s="17" t="n">
        <f aca="false">IF(CostLines!$F12="One-time",IF(AG$4=CostLines!$N12,CostLines!$J12,0),IF(AND(AG$4&gt;=CostLines!$N12,IF(CostLines!$O12="",TRUE(),AG$4&lt;CostLines!$N12+CostLines!$O12)),CostLines!$P12,0))</f>
        <v>10000</v>
      </c>
      <c r="AH36" s="17" t="n">
        <f aca="false">IF(CostLines!$F12="One-time",IF(AH$4=CostLines!$N12,CostLines!$J12,0),IF(AND(AH$4&gt;=CostLines!$N12,IF(CostLines!$O12="",TRUE(),AH$4&lt;CostLines!$N12+CostLines!$O12)),CostLines!$P12,0))</f>
        <v>10000</v>
      </c>
      <c r="AI36" s="17" t="n">
        <f aca="false">IF(CostLines!$F12="One-time",IF(AI$4=CostLines!$N12,CostLines!$J12,0),IF(AND(AI$4&gt;=CostLines!$N12,IF(CostLines!$O12="",TRUE(),AI$4&lt;CostLines!$N12+CostLines!$O12)),CostLines!$P12,0))</f>
        <v>10000</v>
      </c>
      <c r="AJ36" s="17" t="n">
        <f aca="false">IF(CostLines!$F12="One-time",IF(AJ$4=CostLines!$N12,CostLines!$J12,0),IF(AND(AJ$4&gt;=CostLines!$N12,IF(CostLines!$O12="",TRUE(),AJ$4&lt;CostLines!$N12+CostLines!$O12)),CostLines!$P12,0))</f>
        <v>10000</v>
      </c>
      <c r="AK36" s="17" t="n">
        <f aca="false">IF(CostLines!$F12="One-time",IF(AK$4=CostLines!$N12,CostLines!$J12,0),IF(AND(AK$4&gt;=CostLines!$N12,IF(CostLines!$O12="",TRUE(),AK$4&lt;CostLines!$N12+CostLines!$O12)),CostLines!$P12,0))</f>
        <v>10000</v>
      </c>
      <c r="AL36" s="17" t="n">
        <f aca="false">IF(CostLines!$F12="One-time",IF(AL$4=CostLines!$N12,CostLines!$J12,0),IF(AND(AL$4&gt;=CostLines!$N12,IF(CostLines!$O12="",TRUE(),AL$4&lt;CostLines!$N12+CostLines!$O12)),CostLines!$P12,0))</f>
        <v>10000</v>
      </c>
      <c r="AM36" s="17" t="n">
        <f aca="false">IF(CostLines!$F12="One-time",IF(AM$4=CostLines!$N12,CostLines!$J12,0),IF(AND(AM$4&gt;=CostLines!$N12,IF(CostLines!$O12="",TRUE(),AM$4&lt;CostLines!$N12+CostLines!$O12)),CostLines!$P12,0))</f>
        <v>10000</v>
      </c>
      <c r="AN36" s="17" t="n">
        <f aca="false">IF(CostLines!$F12="One-time",IF(AN$4=CostLines!$N12,CostLines!$J12,0),IF(AND(AN$4&gt;=CostLines!$N12,IF(CostLines!$O12="",TRUE(),AN$4&lt;CostLines!$N12+CostLines!$O12)),CostLines!$P12,0))</f>
        <v>10000</v>
      </c>
      <c r="AO36" s="17" t="n">
        <f aca="false">IF(CostLines!$F12="One-time",IF(AO$4=CostLines!$N12,CostLines!$J12,0),IF(AND(AO$4&gt;=CostLines!$N12,IF(CostLines!$O12="",TRUE(),AO$4&lt;CostLines!$N12+CostLines!$O12)),CostLines!$P12,0))</f>
        <v>10000</v>
      </c>
    </row>
    <row r="37" customFormat="false" ht="15" hidden="false" customHeight="false" outlineLevel="0" collapsed="false">
      <c r="A37" s="24" t="str">
        <f aca="false">CostLines!B13</f>
        <v>Compute, simulation &amp; software licenses</v>
      </c>
      <c r="B37" s="24" t="str">
        <f aca="false">CostLines!C13</f>
        <v>EnergyWave, Inc.</v>
      </c>
      <c r="C37" s="24" t="str">
        <f aca="false">CostLines!D13</f>
        <v>Operations</v>
      </c>
      <c r="D37" s="24" t="str">
        <f aca="false">CostLines!E13</f>
        <v>Compute</v>
      </c>
      <c r="E37" s="30" t="n">
        <f aca="false">SUM(F37:AO37)</f>
        <v>288000</v>
      </c>
      <c r="F37" s="17" t="n">
        <f aca="false">IF(CostLines!$F13="One-time",IF(F$4=CostLines!$N13,CostLines!$J13,0),IF(AND(F$4&gt;=CostLines!$N13,IF(CostLines!$O13="",TRUE(),F$4&lt;CostLines!$N13+CostLines!$O13)),CostLines!$P13,0))</f>
        <v>8000</v>
      </c>
      <c r="G37" s="17" t="n">
        <f aca="false">IF(CostLines!$F13="One-time",IF(G$4=CostLines!$N13,CostLines!$J13,0),IF(AND(G$4&gt;=CostLines!$N13,IF(CostLines!$O13="",TRUE(),G$4&lt;CostLines!$N13+CostLines!$O13)),CostLines!$P13,0))</f>
        <v>8000</v>
      </c>
      <c r="H37" s="17" t="n">
        <f aca="false">IF(CostLines!$F13="One-time",IF(H$4=CostLines!$N13,CostLines!$J13,0),IF(AND(H$4&gt;=CostLines!$N13,IF(CostLines!$O13="",TRUE(),H$4&lt;CostLines!$N13+CostLines!$O13)),CostLines!$P13,0))</f>
        <v>8000</v>
      </c>
      <c r="I37" s="17" t="n">
        <f aca="false">IF(CostLines!$F13="One-time",IF(I$4=CostLines!$N13,CostLines!$J13,0),IF(AND(I$4&gt;=CostLines!$N13,IF(CostLines!$O13="",TRUE(),I$4&lt;CostLines!$N13+CostLines!$O13)),CostLines!$P13,0))</f>
        <v>8000</v>
      </c>
      <c r="J37" s="17" t="n">
        <f aca="false">IF(CostLines!$F13="One-time",IF(J$4=CostLines!$N13,CostLines!$J13,0),IF(AND(J$4&gt;=CostLines!$N13,IF(CostLines!$O13="",TRUE(),J$4&lt;CostLines!$N13+CostLines!$O13)),CostLines!$P13,0))</f>
        <v>8000</v>
      </c>
      <c r="K37" s="17" t="n">
        <f aca="false">IF(CostLines!$F13="One-time",IF(K$4=CostLines!$N13,CostLines!$J13,0),IF(AND(K$4&gt;=CostLines!$N13,IF(CostLines!$O13="",TRUE(),K$4&lt;CostLines!$N13+CostLines!$O13)),CostLines!$P13,0))</f>
        <v>8000</v>
      </c>
      <c r="L37" s="17" t="n">
        <f aca="false">IF(CostLines!$F13="One-time",IF(L$4=CostLines!$N13,CostLines!$J13,0),IF(AND(L$4&gt;=CostLines!$N13,IF(CostLines!$O13="",TRUE(),L$4&lt;CostLines!$N13+CostLines!$O13)),CostLines!$P13,0))</f>
        <v>8000</v>
      </c>
      <c r="M37" s="17" t="n">
        <f aca="false">IF(CostLines!$F13="One-time",IF(M$4=CostLines!$N13,CostLines!$J13,0),IF(AND(M$4&gt;=CostLines!$N13,IF(CostLines!$O13="",TRUE(),M$4&lt;CostLines!$N13+CostLines!$O13)),CostLines!$P13,0))</f>
        <v>8000</v>
      </c>
      <c r="N37" s="17" t="n">
        <f aca="false">IF(CostLines!$F13="One-time",IF(N$4=CostLines!$N13,CostLines!$J13,0),IF(AND(N$4&gt;=CostLines!$N13,IF(CostLines!$O13="",TRUE(),N$4&lt;CostLines!$N13+CostLines!$O13)),CostLines!$P13,0))</f>
        <v>8000</v>
      </c>
      <c r="O37" s="17" t="n">
        <f aca="false">IF(CostLines!$F13="One-time",IF(O$4=CostLines!$N13,CostLines!$J13,0),IF(AND(O$4&gt;=CostLines!$N13,IF(CostLines!$O13="",TRUE(),O$4&lt;CostLines!$N13+CostLines!$O13)),CostLines!$P13,0))</f>
        <v>8000</v>
      </c>
      <c r="P37" s="17" t="n">
        <f aca="false">IF(CostLines!$F13="One-time",IF(P$4=CostLines!$N13,CostLines!$J13,0),IF(AND(P$4&gt;=CostLines!$N13,IF(CostLines!$O13="",TRUE(),P$4&lt;CostLines!$N13+CostLines!$O13)),CostLines!$P13,0))</f>
        <v>8000</v>
      </c>
      <c r="Q37" s="17" t="n">
        <f aca="false">IF(CostLines!$F13="One-time",IF(Q$4=CostLines!$N13,CostLines!$J13,0),IF(AND(Q$4&gt;=CostLines!$N13,IF(CostLines!$O13="",TRUE(),Q$4&lt;CostLines!$N13+CostLines!$O13)),CostLines!$P13,0))</f>
        <v>8000</v>
      </c>
      <c r="R37" s="17" t="n">
        <f aca="false">IF(CostLines!$F13="One-time",IF(R$4=CostLines!$N13,CostLines!$J13,0),IF(AND(R$4&gt;=CostLines!$N13,IF(CostLines!$O13="",TRUE(),R$4&lt;CostLines!$N13+CostLines!$O13)),CostLines!$P13,0))</f>
        <v>8000</v>
      </c>
      <c r="S37" s="17" t="n">
        <f aca="false">IF(CostLines!$F13="One-time",IF(S$4=CostLines!$N13,CostLines!$J13,0),IF(AND(S$4&gt;=CostLines!$N13,IF(CostLines!$O13="",TRUE(),S$4&lt;CostLines!$N13+CostLines!$O13)),CostLines!$P13,0))</f>
        <v>8000</v>
      </c>
      <c r="T37" s="17" t="n">
        <f aca="false">IF(CostLines!$F13="One-time",IF(T$4=CostLines!$N13,CostLines!$J13,0),IF(AND(T$4&gt;=CostLines!$N13,IF(CostLines!$O13="",TRUE(),T$4&lt;CostLines!$N13+CostLines!$O13)),CostLines!$P13,0))</f>
        <v>8000</v>
      </c>
      <c r="U37" s="17" t="n">
        <f aca="false">IF(CostLines!$F13="One-time",IF(U$4=CostLines!$N13,CostLines!$J13,0),IF(AND(U$4&gt;=CostLines!$N13,IF(CostLines!$O13="",TRUE(),U$4&lt;CostLines!$N13+CostLines!$O13)),CostLines!$P13,0))</f>
        <v>8000</v>
      </c>
      <c r="V37" s="17" t="n">
        <f aca="false">IF(CostLines!$F13="One-time",IF(V$4=CostLines!$N13,CostLines!$J13,0),IF(AND(V$4&gt;=CostLines!$N13,IF(CostLines!$O13="",TRUE(),V$4&lt;CostLines!$N13+CostLines!$O13)),CostLines!$P13,0))</f>
        <v>8000</v>
      </c>
      <c r="W37" s="17" t="n">
        <f aca="false">IF(CostLines!$F13="One-time",IF(W$4=CostLines!$N13,CostLines!$J13,0),IF(AND(W$4&gt;=CostLines!$N13,IF(CostLines!$O13="",TRUE(),W$4&lt;CostLines!$N13+CostLines!$O13)),CostLines!$P13,0))</f>
        <v>8000</v>
      </c>
      <c r="X37" s="17" t="n">
        <f aca="false">IF(CostLines!$F13="One-time",IF(X$4=CostLines!$N13,CostLines!$J13,0),IF(AND(X$4&gt;=CostLines!$N13,IF(CostLines!$O13="",TRUE(),X$4&lt;CostLines!$N13+CostLines!$O13)),CostLines!$P13,0))</f>
        <v>8000</v>
      </c>
      <c r="Y37" s="17" t="n">
        <f aca="false">IF(CostLines!$F13="One-time",IF(Y$4=CostLines!$N13,CostLines!$J13,0),IF(AND(Y$4&gt;=CostLines!$N13,IF(CostLines!$O13="",TRUE(),Y$4&lt;CostLines!$N13+CostLines!$O13)),CostLines!$P13,0))</f>
        <v>8000</v>
      </c>
      <c r="Z37" s="17" t="n">
        <f aca="false">IF(CostLines!$F13="One-time",IF(Z$4=CostLines!$N13,CostLines!$J13,0),IF(AND(Z$4&gt;=CostLines!$N13,IF(CostLines!$O13="",TRUE(),Z$4&lt;CostLines!$N13+CostLines!$O13)),CostLines!$P13,0))</f>
        <v>8000</v>
      </c>
      <c r="AA37" s="17" t="n">
        <f aca="false">IF(CostLines!$F13="One-time",IF(AA$4=CostLines!$N13,CostLines!$J13,0),IF(AND(AA$4&gt;=CostLines!$N13,IF(CostLines!$O13="",TRUE(),AA$4&lt;CostLines!$N13+CostLines!$O13)),CostLines!$P13,0))</f>
        <v>8000</v>
      </c>
      <c r="AB37" s="17" t="n">
        <f aca="false">IF(CostLines!$F13="One-time",IF(AB$4=CostLines!$N13,CostLines!$J13,0),IF(AND(AB$4&gt;=CostLines!$N13,IF(CostLines!$O13="",TRUE(),AB$4&lt;CostLines!$N13+CostLines!$O13)),CostLines!$P13,0))</f>
        <v>8000</v>
      </c>
      <c r="AC37" s="17" t="n">
        <f aca="false">IF(CostLines!$F13="One-time",IF(AC$4=CostLines!$N13,CostLines!$J13,0),IF(AND(AC$4&gt;=CostLines!$N13,IF(CostLines!$O13="",TRUE(),AC$4&lt;CostLines!$N13+CostLines!$O13)),CostLines!$P13,0))</f>
        <v>8000</v>
      </c>
      <c r="AD37" s="17" t="n">
        <f aca="false">IF(CostLines!$F13="One-time",IF(AD$4=CostLines!$N13,CostLines!$J13,0),IF(AND(AD$4&gt;=CostLines!$N13,IF(CostLines!$O13="",TRUE(),AD$4&lt;CostLines!$N13+CostLines!$O13)),CostLines!$P13,0))</f>
        <v>8000</v>
      </c>
      <c r="AE37" s="17" t="n">
        <f aca="false">IF(CostLines!$F13="One-time",IF(AE$4=CostLines!$N13,CostLines!$J13,0),IF(AND(AE$4&gt;=CostLines!$N13,IF(CostLines!$O13="",TRUE(),AE$4&lt;CostLines!$N13+CostLines!$O13)),CostLines!$P13,0))</f>
        <v>8000</v>
      </c>
      <c r="AF37" s="17" t="n">
        <f aca="false">IF(CostLines!$F13="One-time",IF(AF$4=CostLines!$N13,CostLines!$J13,0),IF(AND(AF$4&gt;=CostLines!$N13,IF(CostLines!$O13="",TRUE(),AF$4&lt;CostLines!$N13+CostLines!$O13)),CostLines!$P13,0))</f>
        <v>8000</v>
      </c>
      <c r="AG37" s="17" t="n">
        <f aca="false">IF(CostLines!$F13="One-time",IF(AG$4=CostLines!$N13,CostLines!$J13,0),IF(AND(AG$4&gt;=CostLines!$N13,IF(CostLines!$O13="",TRUE(),AG$4&lt;CostLines!$N13+CostLines!$O13)),CostLines!$P13,0))</f>
        <v>8000</v>
      </c>
      <c r="AH37" s="17" t="n">
        <f aca="false">IF(CostLines!$F13="One-time",IF(AH$4=CostLines!$N13,CostLines!$J13,0),IF(AND(AH$4&gt;=CostLines!$N13,IF(CostLines!$O13="",TRUE(),AH$4&lt;CostLines!$N13+CostLines!$O13)),CostLines!$P13,0))</f>
        <v>8000</v>
      </c>
      <c r="AI37" s="17" t="n">
        <f aca="false">IF(CostLines!$F13="One-time",IF(AI$4=CostLines!$N13,CostLines!$J13,0),IF(AND(AI$4&gt;=CostLines!$N13,IF(CostLines!$O13="",TRUE(),AI$4&lt;CostLines!$N13+CostLines!$O13)),CostLines!$P13,0))</f>
        <v>8000</v>
      </c>
      <c r="AJ37" s="17" t="n">
        <f aca="false">IF(CostLines!$F13="One-time",IF(AJ$4=CostLines!$N13,CostLines!$J13,0),IF(AND(AJ$4&gt;=CostLines!$N13,IF(CostLines!$O13="",TRUE(),AJ$4&lt;CostLines!$N13+CostLines!$O13)),CostLines!$P13,0))</f>
        <v>8000</v>
      </c>
      <c r="AK37" s="17" t="n">
        <f aca="false">IF(CostLines!$F13="One-time",IF(AK$4=CostLines!$N13,CostLines!$J13,0),IF(AND(AK$4&gt;=CostLines!$N13,IF(CostLines!$O13="",TRUE(),AK$4&lt;CostLines!$N13+CostLines!$O13)),CostLines!$P13,0))</f>
        <v>8000</v>
      </c>
      <c r="AL37" s="17" t="n">
        <f aca="false">IF(CostLines!$F13="One-time",IF(AL$4=CostLines!$N13,CostLines!$J13,0),IF(AND(AL$4&gt;=CostLines!$N13,IF(CostLines!$O13="",TRUE(),AL$4&lt;CostLines!$N13+CostLines!$O13)),CostLines!$P13,0))</f>
        <v>8000</v>
      </c>
      <c r="AM37" s="17" t="n">
        <f aca="false">IF(CostLines!$F13="One-time",IF(AM$4=CostLines!$N13,CostLines!$J13,0),IF(AND(AM$4&gt;=CostLines!$N13,IF(CostLines!$O13="",TRUE(),AM$4&lt;CostLines!$N13+CostLines!$O13)),CostLines!$P13,0))</f>
        <v>8000</v>
      </c>
      <c r="AN37" s="17" t="n">
        <f aca="false">IF(CostLines!$F13="One-time",IF(AN$4=CostLines!$N13,CostLines!$J13,0),IF(AND(AN$4&gt;=CostLines!$N13,IF(CostLines!$O13="",TRUE(),AN$4&lt;CostLines!$N13+CostLines!$O13)),CostLines!$P13,0))</f>
        <v>8000</v>
      </c>
      <c r="AO37" s="17" t="n">
        <f aca="false">IF(CostLines!$F13="One-time",IF(AO$4=CostLines!$N13,CostLines!$J13,0),IF(AND(AO$4&gt;=CostLines!$N13,IF(CostLines!$O13="",TRUE(),AO$4&lt;CostLines!$N13+CostLines!$O13)),CostLines!$P13,0))</f>
        <v>8000</v>
      </c>
    </row>
    <row r="38" customFormat="false" ht="15" hidden="false" customHeight="false" outlineLevel="0" collapsed="false">
      <c r="A38" s="24" t="str">
        <f aca="false">CostLines!B14</f>
        <v>Independent third-party replication / verification</v>
      </c>
      <c r="B38" s="24" t="str">
        <f aca="false">CostLines!C14</f>
        <v>EnergyWave, Inc.</v>
      </c>
      <c r="C38" s="24" t="str">
        <f aca="false">CostLines!D14</f>
        <v>Research</v>
      </c>
      <c r="D38" s="24" t="str">
        <f aca="false">CostLines!E14</f>
        <v>External verification</v>
      </c>
      <c r="E38" s="30" t="n">
        <f aca="false">SUM(F38:AO38)</f>
        <v>375000</v>
      </c>
      <c r="F38" s="17" t="n">
        <f aca="false">IF(CostLines!$F14="One-time",IF(F$4=CostLines!$N14,CostLines!$J14,0),IF(AND(F$4&gt;=CostLines!$N14,IF(CostLines!$O14="",TRUE(),F$4&lt;CostLines!$N14+CostLines!$O14)),CostLines!$P14,0))</f>
        <v>0</v>
      </c>
      <c r="G38" s="17" t="n">
        <f aca="false">IF(CostLines!$F14="One-time",IF(G$4=CostLines!$N14,CostLines!$J14,0),IF(AND(G$4&gt;=CostLines!$N14,IF(CostLines!$O14="",TRUE(),G$4&lt;CostLines!$N14+CostLines!$O14)),CostLines!$P14,0))</f>
        <v>0</v>
      </c>
      <c r="H38" s="17" t="n">
        <f aca="false">IF(CostLines!$F14="One-time",IF(H$4=CostLines!$N14,CostLines!$J14,0),IF(AND(H$4&gt;=CostLines!$N14,IF(CostLines!$O14="",TRUE(),H$4&lt;CostLines!$N14+CostLines!$O14)),CostLines!$P14,0))</f>
        <v>0</v>
      </c>
      <c r="I38" s="17" t="n">
        <f aca="false">IF(CostLines!$F14="One-time",IF(I$4=CostLines!$N14,CostLines!$J14,0),IF(AND(I$4&gt;=CostLines!$N14,IF(CostLines!$O14="",TRUE(),I$4&lt;CostLines!$N14+CostLines!$O14)),CostLines!$P14,0))</f>
        <v>0</v>
      </c>
      <c r="J38" s="17" t="n">
        <f aca="false">IF(CostLines!$F14="One-time",IF(J$4=CostLines!$N14,CostLines!$J14,0),IF(AND(J$4&gt;=CostLines!$N14,IF(CostLines!$O14="",TRUE(),J$4&lt;CostLines!$N14+CostLines!$O14)),CostLines!$P14,0))</f>
        <v>0</v>
      </c>
      <c r="K38" s="17" t="n">
        <f aca="false">IF(CostLines!$F14="One-time",IF(K$4=CostLines!$N14,CostLines!$J14,0),IF(AND(K$4&gt;=CostLines!$N14,IF(CostLines!$O14="",TRUE(),K$4&lt;CostLines!$N14+CostLines!$O14)),CostLines!$P14,0))</f>
        <v>0</v>
      </c>
      <c r="L38" s="17" t="n">
        <f aca="false">IF(CostLines!$F14="One-time",IF(L$4=CostLines!$N14,CostLines!$J14,0),IF(AND(L$4&gt;=CostLines!$N14,IF(CostLines!$O14="",TRUE(),L$4&lt;CostLines!$N14+CostLines!$O14)),CostLines!$P14,0))</f>
        <v>12500</v>
      </c>
      <c r="M38" s="17" t="n">
        <f aca="false">IF(CostLines!$F14="One-time",IF(M$4=CostLines!$N14,CostLines!$J14,0),IF(AND(M$4&gt;=CostLines!$N14,IF(CostLines!$O14="",TRUE(),M$4&lt;CostLines!$N14+CostLines!$O14)),CostLines!$P14,0))</f>
        <v>12500</v>
      </c>
      <c r="N38" s="17" t="n">
        <f aca="false">IF(CostLines!$F14="One-time",IF(N$4=CostLines!$N14,CostLines!$J14,0),IF(AND(N$4&gt;=CostLines!$N14,IF(CostLines!$O14="",TRUE(),N$4&lt;CostLines!$N14+CostLines!$O14)),CostLines!$P14,0))</f>
        <v>12500</v>
      </c>
      <c r="O38" s="17" t="n">
        <f aca="false">IF(CostLines!$F14="One-time",IF(O$4=CostLines!$N14,CostLines!$J14,0),IF(AND(O$4&gt;=CostLines!$N14,IF(CostLines!$O14="",TRUE(),O$4&lt;CostLines!$N14+CostLines!$O14)),CostLines!$P14,0))</f>
        <v>12500</v>
      </c>
      <c r="P38" s="17" t="n">
        <f aca="false">IF(CostLines!$F14="One-time",IF(P$4=CostLines!$N14,CostLines!$J14,0),IF(AND(P$4&gt;=CostLines!$N14,IF(CostLines!$O14="",TRUE(),P$4&lt;CostLines!$N14+CostLines!$O14)),CostLines!$P14,0))</f>
        <v>12500</v>
      </c>
      <c r="Q38" s="17" t="n">
        <f aca="false">IF(CostLines!$F14="One-time",IF(Q$4=CostLines!$N14,CostLines!$J14,0),IF(AND(Q$4&gt;=CostLines!$N14,IF(CostLines!$O14="",TRUE(),Q$4&lt;CostLines!$N14+CostLines!$O14)),CostLines!$P14,0))</f>
        <v>12500</v>
      </c>
      <c r="R38" s="17" t="n">
        <f aca="false">IF(CostLines!$F14="One-time",IF(R$4=CostLines!$N14,CostLines!$J14,0),IF(AND(R$4&gt;=CostLines!$N14,IF(CostLines!$O14="",TRUE(),R$4&lt;CostLines!$N14+CostLines!$O14)),CostLines!$P14,0))</f>
        <v>12500</v>
      </c>
      <c r="S38" s="17" t="n">
        <f aca="false">IF(CostLines!$F14="One-time",IF(S$4=CostLines!$N14,CostLines!$J14,0),IF(AND(S$4&gt;=CostLines!$N14,IF(CostLines!$O14="",TRUE(),S$4&lt;CostLines!$N14+CostLines!$O14)),CostLines!$P14,0))</f>
        <v>12500</v>
      </c>
      <c r="T38" s="17" t="n">
        <f aca="false">IF(CostLines!$F14="One-time",IF(T$4=CostLines!$N14,CostLines!$J14,0),IF(AND(T$4&gt;=CostLines!$N14,IF(CostLines!$O14="",TRUE(),T$4&lt;CostLines!$N14+CostLines!$O14)),CostLines!$P14,0))</f>
        <v>12500</v>
      </c>
      <c r="U38" s="17" t="n">
        <f aca="false">IF(CostLines!$F14="One-time",IF(U$4=CostLines!$N14,CostLines!$J14,0),IF(AND(U$4&gt;=CostLines!$N14,IF(CostLines!$O14="",TRUE(),U$4&lt;CostLines!$N14+CostLines!$O14)),CostLines!$P14,0))</f>
        <v>12500</v>
      </c>
      <c r="V38" s="17" t="n">
        <f aca="false">IF(CostLines!$F14="One-time",IF(V$4=CostLines!$N14,CostLines!$J14,0),IF(AND(V$4&gt;=CostLines!$N14,IF(CostLines!$O14="",TRUE(),V$4&lt;CostLines!$N14+CostLines!$O14)),CostLines!$P14,0))</f>
        <v>12500</v>
      </c>
      <c r="W38" s="17" t="n">
        <f aca="false">IF(CostLines!$F14="One-time",IF(W$4=CostLines!$N14,CostLines!$J14,0),IF(AND(W$4&gt;=CostLines!$N14,IF(CostLines!$O14="",TRUE(),W$4&lt;CostLines!$N14+CostLines!$O14)),CostLines!$P14,0))</f>
        <v>12500</v>
      </c>
      <c r="X38" s="17" t="n">
        <f aca="false">IF(CostLines!$F14="One-time",IF(X$4=CostLines!$N14,CostLines!$J14,0),IF(AND(X$4&gt;=CostLines!$N14,IF(CostLines!$O14="",TRUE(),X$4&lt;CostLines!$N14+CostLines!$O14)),CostLines!$P14,0))</f>
        <v>12500</v>
      </c>
      <c r="Y38" s="17" t="n">
        <f aca="false">IF(CostLines!$F14="One-time",IF(Y$4=CostLines!$N14,CostLines!$J14,0),IF(AND(Y$4&gt;=CostLines!$N14,IF(CostLines!$O14="",TRUE(),Y$4&lt;CostLines!$N14+CostLines!$O14)),CostLines!$P14,0))</f>
        <v>12500</v>
      </c>
      <c r="Z38" s="17" t="n">
        <f aca="false">IF(CostLines!$F14="One-time",IF(Z$4=CostLines!$N14,CostLines!$J14,0),IF(AND(Z$4&gt;=CostLines!$N14,IF(CostLines!$O14="",TRUE(),Z$4&lt;CostLines!$N14+CostLines!$O14)),CostLines!$P14,0))</f>
        <v>12500</v>
      </c>
      <c r="AA38" s="17" t="n">
        <f aca="false">IF(CostLines!$F14="One-time",IF(AA$4=CostLines!$N14,CostLines!$J14,0),IF(AND(AA$4&gt;=CostLines!$N14,IF(CostLines!$O14="",TRUE(),AA$4&lt;CostLines!$N14+CostLines!$O14)),CostLines!$P14,0))</f>
        <v>12500</v>
      </c>
      <c r="AB38" s="17" t="n">
        <f aca="false">IF(CostLines!$F14="One-time",IF(AB$4=CostLines!$N14,CostLines!$J14,0),IF(AND(AB$4&gt;=CostLines!$N14,IF(CostLines!$O14="",TRUE(),AB$4&lt;CostLines!$N14+CostLines!$O14)),CostLines!$P14,0))</f>
        <v>12500</v>
      </c>
      <c r="AC38" s="17" t="n">
        <f aca="false">IF(CostLines!$F14="One-time",IF(AC$4=CostLines!$N14,CostLines!$J14,0),IF(AND(AC$4&gt;=CostLines!$N14,IF(CostLines!$O14="",TRUE(),AC$4&lt;CostLines!$N14+CostLines!$O14)),CostLines!$P14,0))</f>
        <v>12500</v>
      </c>
      <c r="AD38" s="17" t="n">
        <f aca="false">IF(CostLines!$F14="One-time",IF(AD$4=CostLines!$N14,CostLines!$J14,0),IF(AND(AD$4&gt;=CostLines!$N14,IF(CostLines!$O14="",TRUE(),AD$4&lt;CostLines!$N14+CostLines!$O14)),CostLines!$P14,0))</f>
        <v>12500</v>
      </c>
      <c r="AE38" s="17" t="n">
        <f aca="false">IF(CostLines!$F14="One-time",IF(AE$4=CostLines!$N14,CostLines!$J14,0),IF(AND(AE$4&gt;=CostLines!$N14,IF(CostLines!$O14="",TRUE(),AE$4&lt;CostLines!$N14+CostLines!$O14)),CostLines!$P14,0))</f>
        <v>12500</v>
      </c>
      <c r="AF38" s="17" t="n">
        <f aca="false">IF(CostLines!$F14="One-time",IF(AF$4=CostLines!$N14,CostLines!$J14,0),IF(AND(AF$4&gt;=CostLines!$N14,IF(CostLines!$O14="",TRUE(),AF$4&lt;CostLines!$N14+CostLines!$O14)),CostLines!$P14,0))</f>
        <v>12500</v>
      </c>
      <c r="AG38" s="17" t="n">
        <f aca="false">IF(CostLines!$F14="One-time",IF(AG$4=CostLines!$N14,CostLines!$J14,0),IF(AND(AG$4&gt;=CostLines!$N14,IF(CostLines!$O14="",TRUE(),AG$4&lt;CostLines!$N14+CostLines!$O14)),CostLines!$P14,0))</f>
        <v>12500</v>
      </c>
      <c r="AH38" s="17" t="n">
        <f aca="false">IF(CostLines!$F14="One-time",IF(AH$4=CostLines!$N14,CostLines!$J14,0),IF(AND(AH$4&gt;=CostLines!$N14,IF(CostLines!$O14="",TRUE(),AH$4&lt;CostLines!$N14+CostLines!$O14)),CostLines!$P14,0))</f>
        <v>12500</v>
      </c>
      <c r="AI38" s="17" t="n">
        <f aca="false">IF(CostLines!$F14="One-time",IF(AI$4=CostLines!$N14,CostLines!$J14,0),IF(AND(AI$4&gt;=CostLines!$N14,IF(CostLines!$O14="",TRUE(),AI$4&lt;CostLines!$N14+CostLines!$O14)),CostLines!$P14,0))</f>
        <v>12500</v>
      </c>
      <c r="AJ38" s="17" t="n">
        <f aca="false">IF(CostLines!$F14="One-time",IF(AJ$4=CostLines!$N14,CostLines!$J14,0),IF(AND(AJ$4&gt;=CostLines!$N14,IF(CostLines!$O14="",TRUE(),AJ$4&lt;CostLines!$N14+CostLines!$O14)),CostLines!$P14,0))</f>
        <v>12500</v>
      </c>
      <c r="AK38" s="17" t="n">
        <f aca="false">IF(CostLines!$F14="One-time",IF(AK$4=CostLines!$N14,CostLines!$J14,0),IF(AND(AK$4&gt;=CostLines!$N14,IF(CostLines!$O14="",TRUE(),AK$4&lt;CostLines!$N14+CostLines!$O14)),CostLines!$P14,0))</f>
        <v>12500</v>
      </c>
      <c r="AL38" s="17" t="n">
        <f aca="false">IF(CostLines!$F14="One-time",IF(AL$4=CostLines!$N14,CostLines!$J14,0),IF(AND(AL$4&gt;=CostLines!$N14,IF(CostLines!$O14="",TRUE(),AL$4&lt;CostLines!$N14+CostLines!$O14)),CostLines!$P14,0))</f>
        <v>12500</v>
      </c>
      <c r="AM38" s="17" t="n">
        <f aca="false">IF(CostLines!$F14="One-time",IF(AM$4=CostLines!$N14,CostLines!$J14,0),IF(AND(AM$4&gt;=CostLines!$N14,IF(CostLines!$O14="",TRUE(),AM$4&lt;CostLines!$N14+CostLines!$O14)),CostLines!$P14,0))</f>
        <v>12500</v>
      </c>
      <c r="AN38" s="17" t="n">
        <f aca="false">IF(CostLines!$F14="One-time",IF(AN$4=CostLines!$N14,CostLines!$J14,0),IF(AND(AN$4&gt;=CostLines!$N14,IF(CostLines!$O14="",TRUE(),AN$4&lt;CostLines!$N14+CostLines!$O14)),CostLines!$P14,0))</f>
        <v>12500</v>
      </c>
      <c r="AO38" s="17" t="n">
        <f aca="false">IF(CostLines!$F14="One-time",IF(AO$4=CostLines!$N14,CostLines!$J14,0),IF(AND(AO$4&gt;=CostLines!$N14,IF(CostLines!$O14="",TRUE(),AO$4&lt;CostLines!$N14+CostLines!$O14)),CostLines!$P14,0))</f>
        <v>12500</v>
      </c>
    </row>
    <row r="39" customFormat="false" ht="15" hidden="false" customHeight="false" outlineLevel="0" collapsed="false">
      <c r="A39" s="24" t="str">
        <f aca="false">CostLines!B15</f>
        <v>UCI / NFCRC facility-use or sponsored-research agreement</v>
      </c>
      <c r="B39" s="24" t="str">
        <f aca="false">CostLines!C15</f>
        <v>EnergyWave, Inc.</v>
      </c>
      <c r="C39" s="24" t="str">
        <f aca="false">CostLines!D15</f>
        <v>Research</v>
      </c>
      <c r="D39" s="24" t="str">
        <f aca="false">CostLines!E15</f>
        <v>University partnership</v>
      </c>
      <c r="E39" s="30" t="n">
        <f aca="false">SUM(F39:AO39)</f>
        <v>425000</v>
      </c>
      <c r="F39" s="17" t="n">
        <f aca="false">IF(CostLines!$F15="One-time",IF(F$4=CostLines!$N15,CostLines!$J15,0),IF(AND(F$4&gt;=CostLines!$N15,IF(CostLines!$O15="",TRUE(),F$4&lt;CostLines!$N15+CostLines!$O15)),CostLines!$P15,0))</f>
        <v>0</v>
      </c>
      <c r="G39" s="17" t="n">
        <f aca="false">IF(CostLines!$F15="One-time",IF(G$4=CostLines!$N15,CostLines!$J15,0),IF(AND(G$4&gt;=CostLines!$N15,IF(CostLines!$O15="",TRUE(),G$4&lt;CostLines!$N15+CostLines!$O15)),CostLines!$P15,0))</f>
        <v>0</v>
      </c>
      <c r="H39" s="17" t="n">
        <f aca="false">IF(CostLines!$F15="One-time",IF(H$4=CostLines!$N15,CostLines!$J15,0),IF(AND(H$4&gt;=CostLines!$N15,IF(CostLines!$O15="",TRUE(),H$4&lt;CostLines!$N15+CostLines!$O15)),CostLines!$P15,0))</f>
        <v>12500</v>
      </c>
      <c r="I39" s="17" t="n">
        <f aca="false">IF(CostLines!$F15="One-time",IF(I$4=CostLines!$N15,CostLines!$J15,0),IF(AND(I$4&gt;=CostLines!$N15,IF(CostLines!$O15="",TRUE(),I$4&lt;CostLines!$N15+CostLines!$O15)),CostLines!$P15,0))</f>
        <v>12500</v>
      </c>
      <c r="J39" s="17" t="n">
        <f aca="false">IF(CostLines!$F15="One-time",IF(J$4=CostLines!$N15,CostLines!$J15,0),IF(AND(J$4&gt;=CostLines!$N15,IF(CostLines!$O15="",TRUE(),J$4&lt;CostLines!$N15+CostLines!$O15)),CostLines!$P15,0))</f>
        <v>12500</v>
      </c>
      <c r="K39" s="17" t="n">
        <f aca="false">IF(CostLines!$F15="One-time",IF(K$4=CostLines!$N15,CostLines!$J15,0),IF(AND(K$4&gt;=CostLines!$N15,IF(CostLines!$O15="",TRUE(),K$4&lt;CostLines!$N15+CostLines!$O15)),CostLines!$P15,0))</f>
        <v>12500</v>
      </c>
      <c r="L39" s="17" t="n">
        <f aca="false">IF(CostLines!$F15="One-time",IF(L$4=CostLines!$N15,CostLines!$J15,0),IF(AND(L$4&gt;=CostLines!$N15,IF(CostLines!$O15="",TRUE(),L$4&lt;CostLines!$N15+CostLines!$O15)),CostLines!$P15,0))</f>
        <v>12500</v>
      </c>
      <c r="M39" s="17" t="n">
        <f aca="false">IF(CostLines!$F15="One-time",IF(M$4=CostLines!$N15,CostLines!$J15,0),IF(AND(M$4&gt;=CostLines!$N15,IF(CostLines!$O15="",TRUE(),M$4&lt;CostLines!$N15+CostLines!$O15)),CostLines!$P15,0))</f>
        <v>12500</v>
      </c>
      <c r="N39" s="17" t="n">
        <f aca="false">IF(CostLines!$F15="One-time",IF(N$4=CostLines!$N15,CostLines!$J15,0),IF(AND(N$4&gt;=CostLines!$N15,IF(CostLines!$O15="",TRUE(),N$4&lt;CostLines!$N15+CostLines!$O15)),CostLines!$P15,0))</f>
        <v>12500</v>
      </c>
      <c r="O39" s="17" t="n">
        <f aca="false">IF(CostLines!$F15="One-time",IF(O$4=CostLines!$N15,CostLines!$J15,0),IF(AND(O$4&gt;=CostLines!$N15,IF(CostLines!$O15="",TRUE(),O$4&lt;CostLines!$N15+CostLines!$O15)),CostLines!$P15,0))</f>
        <v>12500</v>
      </c>
      <c r="P39" s="17" t="n">
        <f aca="false">IF(CostLines!$F15="One-time",IF(P$4=CostLines!$N15,CostLines!$J15,0),IF(AND(P$4&gt;=CostLines!$N15,IF(CostLines!$O15="",TRUE(),P$4&lt;CostLines!$N15+CostLines!$O15)),CostLines!$P15,0))</f>
        <v>12500</v>
      </c>
      <c r="Q39" s="17" t="n">
        <f aca="false">IF(CostLines!$F15="One-time",IF(Q$4=CostLines!$N15,CostLines!$J15,0),IF(AND(Q$4&gt;=CostLines!$N15,IF(CostLines!$O15="",TRUE(),Q$4&lt;CostLines!$N15+CostLines!$O15)),CostLines!$P15,0))</f>
        <v>12500</v>
      </c>
      <c r="R39" s="17" t="n">
        <f aca="false">IF(CostLines!$F15="One-time",IF(R$4=CostLines!$N15,CostLines!$J15,0),IF(AND(R$4&gt;=CostLines!$N15,IF(CostLines!$O15="",TRUE(),R$4&lt;CostLines!$N15+CostLines!$O15)),CostLines!$P15,0))</f>
        <v>12500</v>
      </c>
      <c r="S39" s="17" t="n">
        <f aca="false">IF(CostLines!$F15="One-time",IF(S$4=CostLines!$N15,CostLines!$J15,0),IF(AND(S$4&gt;=CostLines!$N15,IF(CostLines!$O15="",TRUE(),S$4&lt;CostLines!$N15+CostLines!$O15)),CostLines!$P15,0))</f>
        <v>12500</v>
      </c>
      <c r="T39" s="17" t="n">
        <f aca="false">IF(CostLines!$F15="One-time",IF(T$4=CostLines!$N15,CostLines!$J15,0),IF(AND(T$4&gt;=CostLines!$N15,IF(CostLines!$O15="",TRUE(),T$4&lt;CostLines!$N15+CostLines!$O15)),CostLines!$P15,0))</f>
        <v>12500</v>
      </c>
      <c r="U39" s="17" t="n">
        <f aca="false">IF(CostLines!$F15="One-time",IF(U$4=CostLines!$N15,CostLines!$J15,0),IF(AND(U$4&gt;=CostLines!$N15,IF(CostLines!$O15="",TRUE(),U$4&lt;CostLines!$N15+CostLines!$O15)),CostLines!$P15,0))</f>
        <v>12500</v>
      </c>
      <c r="V39" s="17" t="n">
        <f aca="false">IF(CostLines!$F15="One-time",IF(V$4=CostLines!$N15,CostLines!$J15,0),IF(AND(V$4&gt;=CostLines!$N15,IF(CostLines!$O15="",TRUE(),V$4&lt;CostLines!$N15+CostLines!$O15)),CostLines!$P15,0))</f>
        <v>12500</v>
      </c>
      <c r="W39" s="17" t="n">
        <f aca="false">IF(CostLines!$F15="One-time",IF(W$4=CostLines!$N15,CostLines!$J15,0),IF(AND(W$4&gt;=CostLines!$N15,IF(CostLines!$O15="",TRUE(),W$4&lt;CostLines!$N15+CostLines!$O15)),CostLines!$P15,0))</f>
        <v>12500</v>
      </c>
      <c r="X39" s="17" t="n">
        <f aca="false">IF(CostLines!$F15="One-time",IF(X$4=CostLines!$N15,CostLines!$J15,0),IF(AND(X$4&gt;=CostLines!$N15,IF(CostLines!$O15="",TRUE(),X$4&lt;CostLines!$N15+CostLines!$O15)),CostLines!$P15,0))</f>
        <v>12500</v>
      </c>
      <c r="Y39" s="17" t="n">
        <f aca="false">IF(CostLines!$F15="One-time",IF(Y$4=CostLines!$N15,CostLines!$J15,0),IF(AND(Y$4&gt;=CostLines!$N15,IF(CostLines!$O15="",TRUE(),Y$4&lt;CostLines!$N15+CostLines!$O15)),CostLines!$P15,0))</f>
        <v>12500</v>
      </c>
      <c r="Z39" s="17" t="n">
        <f aca="false">IF(CostLines!$F15="One-time",IF(Z$4=CostLines!$N15,CostLines!$J15,0),IF(AND(Z$4&gt;=CostLines!$N15,IF(CostLines!$O15="",TRUE(),Z$4&lt;CostLines!$N15+CostLines!$O15)),CostLines!$P15,0))</f>
        <v>12500</v>
      </c>
      <c r="AA39" s="17" t="n">
        <f aca="false">IF(CostLines!$F15="One-time",IF(AA$4=CostLines!$N15,CostLines!$J15,0),IF(AND(AA$4&gt;=CostLines!$N15,IF(CostLines!$O15="",TRUE(),AA$4&lt;CostLines!$N15+CostLines!$O15)),CostLines!$P15,0))</f>
        <v>12500</v>
      </c>
      <c r="AB39" s="17" t="n">
        <f aca="false">IF(CostLines!$F15="One-time",IF(AB$4=CostLines!$N15,CostLines!$J15,0),IF(AND(AB$4&gt;=CostLines!$N15,IF(CostLines!$O15="",TRUE(),AB$4&lt;CostLines!$N15+CostLines!$O15)),CostLines!$P15,0))</f>
        <v>12500</v>
      </c>
      <c r="AC39" s="17" t="n">
        <f aca="false">IF(CostLines!$F15="One-time",IF(AC$4=CostLines!$N15,CostLines!$J15,0),IF(AND(AC$4&gt;=CostLines!$N15,IF(CostLines!$O15="",TRUE(),AC$4&lt;CostLines!$N15+CostLines!$O15)),CostLines!$P15,0))</f>
        <v>12500</v>
      </c>
      <c r="AD39" s="17" t="n">
        <f aca="false">IF(CostLines!$F15="One-time",IF(AD$4=CostLines!$N15,CostLines!$J15,0),IF(AND(AD$4&gt;=CostLines!$N15,IF(CostLines!$O15="",TRUE(),AD$4&lt;CostLines!$N15+CostLines!$O15)),CostLines!$P15,0))</f>
        <v>12500</v>
      </c>
      <c r="AE39" s="17" t="n">
        <f aca="false">IF(CostLines!$F15="One-time",IF(AE$4=CostLines!$N15,CostLines!$J15,0),IF(AND(AE$4&gt;=CostLines!$N15,IF(CostLines!$O15="",TRUE(),AE$4&lt;CostLines!$N15+CostLines!$O15)),CostLines!$P15,0))</f>
        <v>12500</v>
      </c>
      <c r="AF39" s="17" t="n">
        <f aca="false">IF(CostLines!$F15="One-time",IF(AF$4=CostLines!$N15,CostLines!$J15,0),IF(AND(AF$4&gt;=CostLines!$N15,IF(CostLines!$O15="",TRUE(),AF$4&lt;CostLines!$N15+CostLines!$O15)),CostLines!$P15,0))</f>
        <v>12500</v>
      </c>
      <c r="AG39" s="17" t="n">
        <f aca="false">IF(CostLines!$F15="One-time",IF(AG$4=CostLines!$N15,CostLines!$J15,0),IF(AND(AG$4&gt;=CostLines!$N15,IF(CostLines!$O15="",TRUE(),AG$4&lt;CostLines!$N15+CostLines!$O15)),CostLines!$P15,0))</f>
        <v>12500</v>
      </c>
      <c r="AH39" s="17" t="n">
        <f aca="false">IF(CostLines!$F15="One-time",IF(AH$4=CostLines!$N15,CostLines!$J15,0),IF(AND(AH$4&gt;=CostLines!$N15,IF(CostLines!$O15="",TRUE(),AH$4&lt;CostLines!$N15+CostLines!$O15)),CostLines!$P15,0))</f>
        <v>12500</v>
      </c>
      <c r="AI39" s="17" t="n">
        <f aca="false">IF(CostLines!$F15="One-time",IF(AI$4=CostLines!$N15,CostLines!$J15,0),IF(AND(AI$4&gt;=CostLines!$N15,IF(CostLines!$O15="",TRUE(),AI$4&lt;CostLines!$N15+CostLines!$O15)),CostLines!$P15,0))</f>
        <v>12500</v>
      </c>
      <c r="AJ39" s="17" t="n">
        <f aca="false">IF(CostLines!$F15="One-time",IF(AJ$4=CostLines!$N15,CostLines!$J15,0),IF(AND(AJ$4&gt;=CostLines!$N15,IF(CostLines!$O15="",TRUE(),AJ$4&lt;CostLines!$N15+CostLines!$O15)),CostLines!$P15,0))</f>
        <v>12500</v>
      </c>
      <c r="AK39" s="17" t="n">
        <f aca="false">IF(CostLines!$F15="One-time",IF(AK$4=CostLines!$N15,CostLines!$J15,0),IF(AND(AK$4&gt;=CostLines!$N15,IF(CostLines!$O15="",TRUE(),AK$4&lt;CostLines!$N15+CostLines!$O15)),CostLines!$P15,0))</f>
        <v>12500</v>
      </c>
      <c r="AL39" s="17" t="n">
        <f aca="false">IF(CostLines!$F15="One-time",IF(AL$4=CostLines!$N15,CostLines!$J15,0),IF(AND(AL$4&gt;=CostLines!$N15,IF(CostLines!$O15="",TRUE(),AL$4&lt;CostLines!$N15+CostLines!$O15)),CostLines!$P15,0))</f>
        <v>12500</v>
      </c>
      <c r="AM39" s="17" t="n">
        <f aca="false">IF(CostLines!$F15="One-time",IF(AM$4=CostLines!$N15,CostLines!$J15,0),IF(AND(AM$4&gt;=CostLines!$N15,IF(CostLines!$O15="",TRUE(),AM$4&lt;CostLines!$N15+CostLines!$O15)),CostLines!$P15,0))</f>
        <v>12500</v>
      </c>
      <c r="AN39" s="17" t="n">
        <f aca="false">IF(CostLines!$F15="One-time",IF(AN$4=CostLines!$N15,CostLines!$J15,0),IF(AND(AN$4&gt;=CostLines!$N15,IF(CostLines!$O15="",TRUE(),AN$4&lt;CostLines!$N15+CostLines!$O15)),CostLines!$P15,0))</f>
        <v>12500</v>
      </c>
      <c r="AO39" s="17" t="n">
        <f aca="false">IF(CostLines!$F15="One-time",IF(AO$4=CostLines!$N15,CostLines!$J15,0),IF(AND(AO$4&gt;=CostLines!$N15,IF(CostLines!$O15="",TRUE(),AO$4&lt;CostLines!$N15+CostLines!$O15)),CostLines!$P15,0))</f>
        <v>12500</v>
      </c>
    </row>
    <row r="40" customFormat="false" ht="15" hidden="false" customHeight="false" outlineLevel="0" collapsed="false">
      <c r="A40" s="24" t="str">
        <f aca="false">CostLines!B16</f>
        <v>K&amp;L Gates IP retainer (Novak / Majewski)</v>
      </c>
      <c r="B40" s="24" t="str">
        <f aca="false">CostLines!C16</f>
        <v>EnergyWave, Inc.</v>
      </c>
      <c r="C40" s="24" t="str">
        <f aca="false">CostLines!D16</f>
        <v>Legal</v>
      </c>
      <c r="D40" s="24" t="str">
        <f aca="false">CostLines!E16</f>
        <v>IP</v>
      </c>
      <c r="E40" s="30" t="n">
        <f aca="false">SUM(F40:AO40)</f>
        <v>540000</v>
      </c>
      <c r="F40" s="17" t="n">
        <f aca="false">IF(CostLines!$F16="One-time",IF(F$4=CostLines!$N16,CostLines!$J16,0),IF(AND(F$4&gt;=CostLines!$N16,IF(CostLines!$O16="",TRUE(),F$4&lt;CostLines!$N16+CostLines!$O16)),CostLines!$P16,0))</f>
        <v>15000</v>
      </c>
      <c r="G40" s="17" t="n">
        <f aca="false">IF(CostLines!$F16="One-time",IF(G$4=CostLines!$N16,CostLines!$J16,0),IF(AND(G$4&gt;=CostLines!$N16,IF(CostLines!$O16="",TRUE(),G$4&lt;CostLines!$N16+CostLines!$O16)),CostLines!$P16,0))</f>
        <v>15000</v>
      </c>
      <c r="H40" s="17" t="n">
        <f aca="false">IF(CostLines!$F16="One-time",IF(H$4=CostLines!$N16,CostLines!$J16,0),IF(AND(H$4&gt;=CostLines!$N16,IF(CostLines!$O16="",TRUE(),H$4&lt;CostLines!$N16+CostLines!$O16)),CostLines!$P16,0))</f>
        <v>15000</v>
      </c>
      <c r="I40" s="17" t="n">
        <f aca="false">IF(CostLines!$F16="One-time",IF(I$4=CostLines!$N16,CostLines!$J16,0),IF(AND(I$4&gt;=CostLines!$N16,IF(CostLines!$O16="",TRUE(),I$4&lt;CostLines!$N16+CostLines!$O16)),CostLines!$P16,0))</f>
        <v>15000</v>
      </c>
      <c r="J40" s="17" t="n">
        <f aca="false">IF(CostLines!$F16="One-time",IF(J$4=CostLines!$N16,CostLines!$J16,0),IF(AND(J$4&gt;=CostLines!$N16,IF(CostLines!$O16="",TRUE(),J$4&lt;CostLines!$N16+CostLines!$O16)),CostLines!$P16,0))</f>
        <v>15000</v>
      </c>
      <c r="K40" s="17" t="n">
        <f aca="false">IF(CostLines!$F16="One-time",IF(K$4=CostLines!$N16,CostLines!$J16,0),IF(AND(K$4&gt;=CostLines!$N16,IF(CostLines!$O16="",TRUE(),K$4&lt;CostLines!$N16+CostLines!$O16)),CostLines!$P16,0))</f>
        <v>15000</v>
      </c>
      <c r="L40" s="17" t="n">
        <f aca="false">IF(CostLines!$F16="One-time",IF(L$4=CostLines!$N16,CostLines!$J16,0),IF(AND(L$4&gt;=CostLines!$N16,IF(CostLines!$O16="",TRUE(),L$4&lt;CostLines!$N16+CostLines!$O16)),CostLines!$P16,0))</f>
        <v>15000</v>
      </c>
      <c r="M40" s="17" t="n">
        <f aca="false">IF(CostLines!$F16="One-time",IF(M$4=CostLines!$N16,CostLines!$J16,0),IF(AND(M$4&gt;=CostLines!$N16,IF(CostLines!$O16="",TRUE(),M$4&lt;CostLines!$N16+CostLines!$O16)),CostLines!$P16,0))</f>
        <v>15000</v>
      </c>
      <c r="N40" s="17" t="n">
        <f aca="false">IF(CostLines!$F16="One-time",IF(N$4=CostLines!$N16,CostLines!$J16,0),IF(AND(N$4&gt;=CostLines!$N16,IF(CostLines!$O16="",TRUE(),N$4&lt;CostLines!$N16+CostLines!$O16)),CostLines!$P16,0))</f>
        <v>15000</v>
      </c>
      <c r="O40" s="17" t="n">
        <f aca="false">IF(CostLines!$F16="One-time",IF(O$4=CostLines!$N16,CostLines!$J16,0),IF(AND(O$4&gt;=CostLines!$N16,IF(CostLines!$O16="",TRUE(),O$4&lt;CostLines!$N16+CostLines!$O16)),CostLines!$P16,0))</f>
        <v>15000</v>
      </c>
      <c r="P40" s="17" t="n">
        <f aca="false">IF(CostLines!$F16="One-time",IF(P$4=CostLines!$N16,CostLines!$J16,0),IF(AND(P$4&gt;=CostLines!$N16,IF(CostLines!$O16="",TRUE(),P$4&lt;CostLines!$N16+CostLines!$O16)),CostLines!$P16,0))</f>
        <v>15000</v>
      </c>
      <c r="Q40" s="17" t="n">
        <f aca="false">IF(CostLines!$F16="One-time",IF(Q$4=CostLines!$N16,CostLines!$J16,0),IF(AND(Q$4&gt;=CostLines!$N16,IF(CostLines!$O16="",TRUE(),Q$4&lt;CostLines!$N16+CostLines!$O16)),CostLines!$P16,0))</f>
        <v>15000</v>
      </c>
      <c r="R40" s="17" t="n">
        <f aca="false">IF(CostLines!$F16="One-time",IF(R$4=CostLines!$N16,CostLines!$J16,0),IF(AND(R$4&gt;=CostLines!$N16,IF(CostLines!$O16="",TRUE(),R$4&lt;CostLines!$N16+CostLines!$O16)),CostLines!$P16,0))</f>
        <v>15000</v>
      </c>
      <c r="S40" s="17" t="n">
        <f aca="false">IF(CostLines!$F16="One-time",IF(S$4=CostLines!$N16,CostLines!$J16,0),IF(AND(S$4&gt;=CostLines!$N16,IF(CostLines!$O16="",TRUE(),S$4&lt;CostLines!$N16+CostLines!$O16)),CostLines!$P16,0))</f>
        <v>15000</v>
      </c>
      <c r="T40" s="17" t="n">
        <f aca="false">IF(CostLines!$F16="One-time",IF(T$4=CostLines!$N16,CostLines!$J16,0),IF(AND(T$4&gt;=CostLines!$N16,IF(CostLines!$O16="",TRUE(),T$4&lt;CostLines!$N16+CostLines!$O16)),CostLines!$P16,0))</f>
        <v>15000</v>
      </c>
      <c r="U40" s="17" t="n">
        <f aca="false">IF(CostLines!$F16="One-time",IF(U$4=CostLines!$N16,CostLines!$J16,0),IF(AND(U$4&gt;=CostLines!$N16,IF(CostLines!$O16="",TRUE(),U$4&lt;CostLines!$N16+CostLines!$O16)),CostLines!$P16,0))</f>
        <v>15000</v>
      </c>
      <c r="V40" s="17" t="n">
        <f aca="false">IF(CostLines!$F16="One-time",IF(V$4=CostLines!$N16,CostLines!$J16,0),IF(AND(V$4&gt;=CostLines!$N16,IF(CostLines!$O16="",TRUE(),V$4&lt;CostLines!$N16+CostLines!$O16)),CostLines!$P16,0))</f>
        <v>15000</v>
      </c>
      <c r="W40" s="17" t="n">
        <f aca="false">IF(CostLines!$F16="One-time",IF(W$4=CostLines!$N16,CostLines!$J16,0),IF(AND(W$4&gt;=CostLines!$N16,IF(CostLines!$O16="",TRUE(),W$4&lt;CostLines!$N16+CostLines!$O16)),CostLines!$P16,0))</f>
        <v>15000</v>
      </c>
      <c r="X40" s="17" t="n">
        <f aca="false">IF(CostLines!$F16="One-time",IF(X$4=CostLines!$N16,CostLines!$J16,0),IF(AND(X$4&gt;=CostLines!$N16,IF(CostLines!$O16="",TRUE(),X$4&lt;CostLines!$N16+CostLines!$O16)),CostLines!$P16,0))</f>
        <v>15000</v>
      </c>
      <c r="Y40" s="17" t="n">
        <f aca="false">IF(CostLines!$F16="One-time",IF(Y$4=CostLines!$N16,CostLines!$J16,0),IF(AND(Y$4&gt;=CostLines!$N16,IF(CostLines!$O16="",TRUE(),Y$4&lt;CostLines!$N16+CostLines!$O16)),CostLines!$P16,0))</f>
        <v>15000</v>
      </c>
      <c r="Z40" s="17" t="n">
        <f aca="false">IF(CostLines!$F16="One-time",IF(Z$4=CostLines!$N16,CostLines!$J16,0),IF(AND(Z$4&gt;=CostLines!$N16,IF(CostLines!$O16="",TRUE(),Z$4&lt;CostLines!$N16+CostLines!$O16)),CostLines!$P16,0))</f>
        <v>15000</v>
      </c>
      <c r="AA40" s="17" t="n">
        <f aca="false">IF(CostLines!$F16="One-time",IF(AA$4=CostLines!$N16,CostLines!$J16,0),IF(AND(AA$4&gt;=CostLines!$N16,IF(CostLines!$O16="",TRUE(),AA$4&lt;CostLines!$N16+CostLines!$O16)),CostLines!$P16,0))</f>
        <v>15000</v>
      </c>
      <c r="AB40" s="17" t="n">
        <f aca="false">IF(CostLines!$F16="One-time",IF(AB$4=CostLines!$N16,CostLines!$J16,0),IF(AND(AB$4&gt;=CostLines!$N16,IF(CostLines!$O16="",TRUE(),AB$4&lt;CostLines!$N16+CostLines!$O16)),CostLines!$P16,0))</f>
        <v>15000</v>
      </c>
      <c r="AC40" s="17" t="n">
        <f aca="false">IF(CostLines!$F16="One-time",IF(AC$4=CostLines!$N16,CostLines!$J16,0),IF(AND(AC$4&gt;=CostLines!$N16,IF(CostLines!$O16="",TRUE(),AC$4&lt;CostLines!$N16+CostLines!$O16)),CostLines!$P16,0))</f>
        <v>15000</v>
      </c>
      <c r="AD40" s="17" t="n">
        <f aca="false">IF(CostLines!$F16="One-time",IF(AD$4=CostLines!$N16,CostLines!$J16,0),IF(AND(AD$4&gt;=CostLines!$N16,IF(CostLines!$O16="",TRUE(),AD$4&lt;CostLines!$N16+CostLines!$O16)),CostLines!$P16,0))</f>
        <v>15000</v>
      </c>
      <c r="AE40" s="17" t="n">
        <f aca="false">IF(CostLines!$F16="One-time",IF(AE$4=CostLines!$N16,CostLines!$J16,0),IF(AND(AE$4&gt;=CostLines!$N16,IF(CostLines!$O16="",TRUE(),AE$4&lt;CostLines!$N16+CostLines!$O16)),CostLines!$P16,0))</f>
        <v>15000</v>
      </c>
      <c r="AF40" s="17" t="n">
        <f aca="false">IF(CostLines!$F16="One-time",IF(AF$4=CostLines!$N16,CostLines!$J16,0),IF(AND(AF$4&gt;=CostLines!$N16,IF(CostLines!$O16="",TRUE(),AF$4&lt;CostLines!$N16+CostLines!$O16)),CostLines!$P16,0))</f>
        <v>15000</v>
      </c>
      <c r="AG40" s="17" t="n">
        <f aca="false">IF(CostLines!$F16="One-time",IF(AG$4=CostLines!$N16,CostLines!$J16,0),IF(AND(AG$4&gt;=CostLines!$N16,IF(CostLines!$O16="",TRUE(),AG$4&lt;CostLines!$N16+CostLines!$O16)),CostLines!$P16,0))</f>
        <v>15000</v>
      </c>
      <c r="AH40" s="17" t="n">
        <f aca="false">IF(CostLines!$F16="One-time",IF(AH$4=CostLines!$N16,CostLines!$J16,0),IF(AND(AH$4&gt;=CostLines!$N16,IF(CostLines!$O16="",TRUE(),AH$4&lt;CostLines!$N16+CostLines!$O16)),CostLines!$P16,0))</f>
        <v>15000</v>
      </c>
      <c r="AI40" s="17" t="n">
        <f aca="false">IF(CostLines!$F16="One-time",IF(AI$4=CostLines!$N16,CostLines!$J16,0),IF(AND(AI$4&gt;=CostLines!$N16,IF(CostLines!$O16="",TRUE(),AI$4&lt;CostLines!$N16+CostLines!$O16)),CostLines!$P16,0))</f>
        <v>15000</v>
      </c>
      <c r="AJ40" s="17" t="n">
        <f aca="false">IF(CostLines!$F16="One-time",IF(AJ$4=CostLines!$N16,CostLines!$J16,0),IF(AND(AJ$4&gt;=CostLines!$N16,IF(CostLines!$O16="",TRUE(),AJ$4&lt;CostLines!$N16+CostLines!$O16)),CostLines!$P16,0))</f>
        <v>15000</v>
      </c>
      <c r="AK40" s="17" t="n">
        <f aca="false">IF(CostLines!$F16="One-time",IF(AK$4=CostLines!$N16,CostLines!$J16,0),IF(AND(AK$4&gt;=CostLines!$N16,IF(CostLines!$O16="",TRUE(),AK$4&lt;CostLines!$N16+CostLines!$O16)),CostLines!$P16,0))</f>
        <v>15000</v>
      </c>
      <c r="AL40" s="17" t="n">
        <f aca="false">IF(CostLines!$F16="One-time",IF(AL$4=CostLines!$N16,CostLines!$J16,0),IF(AND(AL$4&gt;=CostLines!$N16,IF(CostLines!$O16="",TRUE(),AL$4&lt;CostLines!$N16+CostLines!$O16)),CostLines!$P16,0))</f>
        <v>15000</v>
      </c>
      <c r="AM40" s="17" t="n">
        <f aca="false">IF(CostLines!$F16="One-time",IF(AM$4=CostLines!$N16,CostLines!$J16,0),IF(AND(AM$4&gt;=CostLines!$N16,IF(CostLines!$O16="",TRUE(),AM$4&lt;CostLines!$N16+CostLines!$O16)),CostLines!$P16,0))</f>
        <v>15000</v>
      </c>
      <c r="AN40" s="17" t="n">
        <f aca="false">IF(CostLines!$F16="One-time",IF(AN$4=CostLines!$N16,CostLines!$J16,0),IF(AND(AN$4&gt;=CostLines!$N16,IF(CostLines!$O16="",TRUE(),AN$4&lt;CostLines!$N16+CostLines!$O16)),CostLines!$P16,0))</f>
        <v>15000</v>
      </c>
      <c r="AO40" s="17" t="n">
        <f aca="false">IF(CostLines!$F16="One-time",IF(AO$4=CostLines!$N16,CostLines!$J16,0),IF(AND(AO$4&gt;=CostLines!$N16,IF(CostLines!$O16="",TRUE(),AO$4&lt;CostLines!$N16+CostLines!$O16)),CostLines!$P16,0))</f>
        <v>15000</v>
      </c>
    </row>
    <row r="41" customFormat="false" ht="15" hidden="false" customHeight="false" outlineLevel="0" collapsed="false">
      <c r="A41" s="24" t="str">
        <f aca="false">CostLines!B17</f>
        <v>Entity work: 501(c)(3) determinations, intercompany / services agreements</v>
      </c>
      <c r="B41" s="24" t="str">
        <f aca="false">CostLines!C17</f>
        <v>EnergyWave, Inc.</v>
      </c>
      <c r="C41" s="24" t="str">
        <f aca="false">CostLines!D17</f>
        <v>Legal</v>
      </c>
      <c r="D41" s="24" t="str">
        <f aca="false">CostLines!E17</f>
        <v>Corporate</v>
      </c>
      <c r="E41" s="30" t="n">
        <f aca="false">SUM(F41:AO41)</f>
        <v>60000</v>
      </c>
      <c r="F41" s="17" t="n">
        <f aca="false">IF(CostLines!$F17="One-time",IF(F$4=CostLines!$N17,CostLines!$J17,0),IF(AND(F$4&gt;=CostLines!$N17,IF(CostLines!$O17="",TRUE(),F$4&lt;CostLines!$N17+CostLines!$O17)),CostLines!$P17,0))</f>
        <v>60000</v>
      </c>
      <c r="G41" s="17" t="n">
        <f aca="false">IF(CostLines!$F17="One-time",IF(G$4=CostLines!$N17,CostLines!$J17,0),IF(AND(G$4&gt;=CostLines!$N17,IF(CostLines!$O17="",TRUE(),G$4&lt;CostLines!$N17+CostLines!$O17)),CostLines!$P17,0))</f>
        <v>0</v>
      </c>
      <c r="H41" s="17" t="n">
        <f aca="false">IF(CostLines!$F17="One-time",IF(H$4=CostLines!$N17,CostLines!$J17,0),IF(AND(H$4&gt;=CostLines!$N17,IF(CostLines!$O17="",TRUE(),H$4&lt;CostLines!$N17+CostLines!$O17)),CostLines!$P17,0))</f>
        <v>0</v>
      </c>
      <c r="I41" s="17" t="n">
        <f aca="false">IF(CostLines!$F17="One-time",IF(I$4=CostLines!$N17,CostLines!$J17,0),IF(AND(I$4&gt;=CostLines!$N17,IF(CostLines!$O17="",TRUE(),I$4&lt;CostLines!$N17+CostLines!$O17)),CostLines!$P17,0))</f>
        <v>0</v>
      </c>
      <c r="J41" s="17" t="n">
        <f aca="false">IF(CostLines!$F17="One-time",IF(J$4=CostLines!$N17,CostLines!$J17,0),IF(AND(J$4&gt;=CostLines!$N17,IF(CostLines!$O17="",TRUE(),J$4&lt;CostLines!$N17+CostLines!$O17)),CostLines!$P17,0))</f>
        <v>0</v>
      </c>
      <c r="K41" s="17" t="n">
        <f aca="false">IF(CostLines!$F17="One-time",IF(K$4=CostLines!$N17,CostLines!$J17,0),IF(AND(K$4&gt;=CostLines!$N17,IF(CostLines!$O17="",TRUE(),K$4&lt;CostLines!$N17+CostLines!$O17)),CostLines!$P17,0))</f>
        <v>0</v>
      </c>
      <c r="L41" s="17" t="n">
        <f aca="false">IF(CostLines!$F17="One-time",IF(L$4=CostLines!$N17,CostLines!$J17,0),IF(AND(L$4&gt;=CostLines!$N17,IF(CostLines!$O17="",TRUE(),L$4&lt;CostLines!$N17+CostLines!$O17)),CostLines!$P17,0))</f>
        <v>0</v>
      </c>
      <c r="M41" s="17" t="n">
        <f aca="false">IF(CostLines!$F17="One-time",IF(M$4=CostLines!$N17,CostLines!$J17,0),IF(AND(M$4&gt;=CostLines!$N17,IF(CostLines!$O17="",TRUE(),M$4&lt;CostLines!$N17+CostLines!$O17)),CostLines!$P17,0))</f>
        <v>0</v>
      </c>
      <c r="N41" s="17" t="n">
        <f aca="false">IF(CostLines!$F17="One-time",IF(N$4=CostLines!$N17,CostLines!$J17,0),IF(AND(N$4&gt;=CostLines!$N17,IF(CostLines!$O17="",TRUE(),N$4&lt;CostLines!$N17+CostLines!$O17)),CostLines!$P17,0))</f>
        <v>0</v>
      </c>
      <c r="O41" s="17" t="n">
        <f aca="false">IF(CostLines!$F17="One-time",IF(O$4=CostLines!$N17,CostLines!$J17,0),IF(AND(O$4&gt;=CostLines!$N17,IF(CostLines!$O17="",TRUE(),O$4&lt;CostLines!$N17+CostLines!$O17)),CostLines!$P17,0))</f>
        <v>0</v>
      </c>
      <c r="P41" s="17" t="n">
        <f aca="false">IF(CostLines!$F17="One-time",IF(P$4=CostLines!$N17,CostLines!$J17,0),IF(AND(P$4&gt;=CostLines!$N17,IF(CostLines!$O17="",TRUE(),P$4&lt;CostLines!$N17+CostLines!$O17)),CostLines!$P17,0))</f>
        <v>0</v>
      </c>
      <c r="Q41" s="17" t="n">
        <f aca="false">IF(CostLines!$F17="One-time",IF(Q$4=CostLines!$N17,CostLines!$J17,0),IF(AND(Q$4&gt;=CostLines!$N17,IF(CostLines!$O17="",TRUE(),Q$4&lt;CostLines!$N17+CostLines!$O17)),CostLines!$P17,0))</f>
        <v>0</v>
      </c>
      <c r="R41" s="17" t="n">
        <f aca="false">IF(CostLines!$F17="One-time",IF(R$4=CostLines!$N17,CostLines!$J17,0),IF(AND(R$4&gt;=CostLines!$N17,IF(CostLines!$O17="",TRUE(),R$4&lt;CostLines!$N17+CostLines!$O17)),CostLines!$P17,0))</f>
        <v>0</v>
      </c>
      <c r="S41" s="17" t="n">
        <f aca="false">IF(CostLines!$F17="One-time",IF(S$4=CostLines!$N17,CostLines!$J17,0),IF(AND(S$4&gt;=CostLines!$N17,IF(CostLines!$O17="",TRUE(),S$4&lt;CostLines!$N17+CostLines!$O17)),CostLines!$P17,0))</f>
        <v>0</v>
      </c>
      <c r="T41" s="17" t="n">
        <f aca="false">IF(CostLines!$F17="One-time",IF(T$4=CostLines!$N17,CostLines!$J17,0),IF(AND(T$4&gt;=CostLines!$N17,IF(CostLines!$O17="",TRUE(),T$4&lt;CostLines!$N17+CostLines!$O17)),CostLines!$P17,0))</f>
        <v>0</v>
      </c>
      <c r="U41" s="17" t="n">
        <f aca="false">IF(CostLines!$F17="One-time",IF(U$4=CostLines!$N17,CostLines!$J17,0),IF(AND(U$4&gt;=CostLines!$N17,IF(CostLines!$O17="",TRUE(),U$4&lt;CostLines!$N17+CostLines!$O17)),CostLines!$P17,0))</f>
        <v>0</v>
      </c>
      <c r="V41" s="17" t="n">
        <f aca="false">IF(CostLines!$F17="One-time",IF(V$4=CostLines!$N17,CostLines!$J17,0),IF(AND(V$4&gt;=CostLines!$N17,IF(CostLines!$O17="",TRUE(),V$4&lt;CostLines!$N17+CostLines!$O17)),CostLines!$P17,0))</f>
        <v>0</v>
      </c>
      <c r="W41" s="17" t="n">
        <f aca="false">IF(CostLines!$F17="One-time",IF(W$4=CostLines!$N17,CostLines!$J17,0),IF(AND(W$4&gt;=CostLines!$N17,IF(CostLines!$O17="",TRUE(),W$4&lt;CostLines!$N17+CostLines!$O17)),CostLines!$P17,0))</f>
        <v>0</v>
      </c>
      <c r="X41" s="17" t="n">
        <f aca="false">IF(CostLines!$F17="One-time",IF(X$4=CostLines!$N17,CostLines!$J17,0),IF(AND(X$4&gt;=CostLines!$N17,IF(CostLines!$O17="",TRUE(),X$4&lt;CostLines!$N17+CostLines!$O17)),CostLines!$P17,0))</f>
        <v>0</v>
      </c>
      <c r="Y41" s="17" t="n">
        <f aca="false">IF(CostLines!$F17="One-time",IF(Y$4=CostLines!$N17,CostLines!$J17,0),IF(AND(Y$4&gt;=CostLines!$N17,IF(CostLines!$O17="",TRUE(),Y$4&lt;CostLines!$N17+CostLines!$O17)),CostLines!$P17,0))</f>
        <v>0</v>
      </c>
      <c r="Z41" s="17" t="n">
        <f aca="false">IF(CostLines!$F17="One-time",IF(Z$4=CostLines!$N17,CostLines!$J17,0),IF(AND(Z$4&gt;=CostLines!$N17,IF(CostLines!$O17="",TRUE(),Z$4&lt;CostLines!$N17+CostLines!$O17)),CostLines!$P17,0))</f>
        <v>0</v>
      </c>
      <c r="AA41" s="17" t="n">
        <f aca="false">IF(CostLines!$F17="One-time",IF(AA$4=CostLines!$N17,CostLines!$J17,0),IF(AND(AA$4&gt;=CostLines!$N17,IF(CostLines!$O17="",TRUE(),AA$4&lt;CostLines!$N17+CostLines!$O17)),CostLines!$P17,0))</f>
        <v>0</v>
      </c>
      <c r="AB41" s="17" t="n">
        <f aca="false">IF(CostLines!$F17="One-time",IF(AB$4=CostLines!$N17,CostLines!$J17,0),IF(AND(AB$4&gt;=CostLines!$N17,IF(CostLines!$O17="",TRUE(),AB$4&lt;CostLines!$N17+CostLines!$O17)),CostLines!$P17,0))</f>
        <v>0</v>
      </c>
      <c r="AC41" s="17" t="n">
        <f aca="false">IF(CostLines!$F17="One-time",IF(AC$4=CostLines!$N17,CostLines!$J17,0),IF(AND(AC$4&gt;=CostLines!$N17,IF(CostLines!$O17="",TRUE(),AC$4&lt;CostLines!$N17+CostLines!$O17)),CostLines!$P17,0))</f>
        <v>0</v>
      </c>
      <c r="AD41" s="17" t="n">
        <f aca="false">IF(CostLines!$F17="One-time",IF(AD$4=CostLines!$N17,CostLines!$J17,0),IF(AND(AD$4&gt;=CostLines!$N17,IF(CostLines!$O17="",TRUE(),AD$4&lt;CostLines!$N17+CostLines!$O17)),CostLines!$P17,0))</f>
        <v>0</v>
      </c>
      <c r="AE41" s="17" t="n">
        <f aca="false">IF(CostLines!$F17="One-time",IF(AE$4=CostLines!$N17,CostLines!$J17,0),IF(AND(AE$4&gt;=CostLines!$N17,IF(CostLines!$O17="",TRUE(),AE$4&lt;CostLines!$N17+CostLines!$O17)),CostLines!$P17,0))</f>
        <v>0</v>
      </c>
      <c r="AF41" s="17" t="n">
        <f aca="false">IF(CostLines!$F17="One-time",IF(AF$4=CostLines!$N17,CostLines!$J17,0),IF(AND(AF$4&gt;=CostLines!$N17,IF(CostLines!$O17="",TRUE(),AF$4&lt;CostLines!$N17+CostLines!$O17)),CostLines!$P17,0))</f>
        <v>0</v>
      </c>
      <c r="AG41" s="17" t="n">
        <f aca="false">IF(CostLines!$F17="One-time",IF(AG$4=CostLines!$N17,CostLines!$J17,0),IF(AND(AG$4&gt;=CostLines!$N17,IF(CostLines!$O17="",TRUE(),AG$4&lt;CostLines!$N17+CostLines!$O17)),CostLines!$P17,0))</f>
        <v>0</v>
      </c>
      <c r="AH41" s="17" t="n">
        <f aca="false">IF(CostLines!$F17="One-time",IF(AH$4=CostLines!$N17,CostLines!$J17,0),IF(AND(AH$4&gt;=CostLines!$N17,IF(CostLines!$O17="",TRUE(),AH$4&lt;CostLines!$N17+CostLines!$O17)),CostLines!$P17,0))</f>
        <v>0</v>
      </c>
      <c r="AI41" s="17" t="n">
        <f aca="false">IF(CostLines!$F17="One-time",IF(AI$4=CostLines!$N17,CostLines!$J17,0),IF(AND(AI$4&gt;=CostLines!$N17,IF(CostLines!$O17="",TRUE(),AI$4&lt;CostLines!$N17+CostLines!$O17)),CostLines!$P17,0))</f>
        <v>0</v>
      </c>
      <c r="AJ41" s="17" t="n">
        <f aca="false">IF(CostLines!$F17="One-time",IF(AJ$4=CostLines!$N17,CostLines!$J17,0),IF(AND(AJ$4&gt;=CostLines!$N17,IF(CostLines!$O17="",TRUE(),AJ$4&lt;CostLines!$N17+CostLines!$O17)),CostLines!$P17,0))</f>
        <v>0</v>
      </c>
      <c r="AK41" s="17" t="n">
        <f aca="false">IF(CostLines!$F17="One-time",IF(AK$4=CostLines!$N17,CostLines!$J17,0),IF(AND(AK$4&gt;=CostLines!$N17,IF(CostLines!$O17="",TRUE(),AK$4&lt;CostLines!$N17+CostLines!$O17)),CostLines!$P17,0))</f>
        <v>0</v>
      </c>
      <c r="AL41" s="17" t="n">
        <f aca="false">IF(CostLines!$F17="One-time",IF(AL$4=CostLines!$N17,CostLines!$J17,0),IF(AND(AL$4&gt;=CostLines!$N17,IF(CostLines!$O17="",TRUE(),AL$4&lt;CostLines!$N17+CostLines!$O17)),CostLines!$P17,0))</f>
        <v>0</v>
      </c>
      <c r="AM41" s="17" t="n">
        <f aca="false">IF(CostLines!$F17="One-time",IF(AM$4=CostLines!$N17,CostLines!$J17,0),IF(AND(AM$4&gt;=CostLines!$N17,IF(CostLines!$O17="",TRUE(),AM$4&lt;CostLines!$N17+CostLines!$O17)),CostLines!$P17,0))</f>
        <v>0</v>
      </c>
      <c r="AN41" s="17" t="n">
        <f aca="false">IF(CostLines!$F17="One-time",IF(AN$4=CostLines!$N17,CostLines!$J17,0),IF(AND(AN$4&gt;=CostLines!$N17,IF(CostLines!$O17="",TRUE(),AN$4&lt;CostLines!$N17+CostLines!$O17)),CostLines!$P17,0))</f>
        <v>0</v>
      </c>
      <c r="AO41" s="17" t="n">
        <f aca="false">IF(CostLines!$F17="One-time",IF(AO$4=CostLines!$N17,CostLines!$J17,0),IF(AND(AO$4&gt;=CostLines!$N17,IF(CostLines!$O17="",TRUE(),AO$4&lt;CostLines!$N17+CostLines!$O17)),CostLines!$P17,0))</f>
        <v>0</v>
      </c>
    </row>
    <row r="42" customFormat="false" ht="15" hidden="false" customHeight="false" outlineLevel="0" collapsed="false">
      <c r="A42" s="24" t="str">
        <f aca="false">CostLines!B18</f>
        <v>Securities counsel (raise docs, Wyoming pooling LLC, SAFE conversion)</v>
      </c>
      <c r="B42" s="24" t="str">
        <f aca="false">CostLines!C18</f>
        <v>EnergyWave, Inc.</v>
      </c>
      <c r="C42" s="24" t="str">
        <f aca="false">CostLines!D18</f>
        <v>Legal</v>
      </c>
      <c r="D42" s="24" t="str">
        <f aca="false">CostLines!E18</f>
        <v>Securities</v>
      </c>
      <c r="E42" s="30" t="n">
        <f aca="false">SUM(F42:AO42)</f>
        <v>75000</v>
      </c>
      <c r="F42" s="17" t="n">
        <f aca="false">IF(CostLines!$F18="One-time",IF(F$4=CostLines!$N18,CostLines!$J18,0),IF(AND(F$4&gt;=CostLines!$N18,IF(CostLines!$O18="",TRUE(),F$4&lt;CostLines!$N18+CostLines!$O18)),CostLines!$P18,0))</f>
        <v>75000</v>
      </c>
      <c r="G42" s="17" t="n">
        <f aca="false">IF(CostLines!$F18="One-time",IF(G$4=CostLines!$N18,CostLines!$J18,0),IF(AND(G$4&gt;=CostLines!$N18,IF(CostLines!$O18="",TRUE(),G$4&lt;CostLines!$N18+CostLines!$O18)),CostLines!$P18,0))</f>
        <v>0</v>
      </c>
      <c r="H42" s="17" t="n">
        <f aca="false">IF(CostLines!$F18="One-time",IF(H$4=CostLines!$N18,CostLines!$J18,0),IF(AND(H$4&gt;=CostLines!$N18,IF(CostLines!$O18="",TRUE(),H$4&lt;CostLines!$N18+CostLines!$O18)),CostLines!$P18,0))</f>
        <v>0</v>
      </c>
      <c r="I42" s="17" t="n">
        <f aca="false">IF(CostLines!$F18="One-time",IF(I$4=CostLines!$N18,CostLines!$J18,0),IF(AND(I$4&gt;=CostLines!$N18,IF(CostLines!$O18="",TRUE(),I$4&lt;CostLines!$N18+CostLines!$O18)),CostLines!$P18,0))</f>
        <v>0</v>
      </c>
      <c r="J42" s="17" t="n">
        <f aca="false">IF(CostLines!$F18="One-time",IF(J$4=CostLines!$N18,CostLines!$J18,0),IF(AND(J$4&gt;=CostLines!$N18,IF(CostLines!$O18="",TRUE(),J$4&lt;CostLines!$N18+CostLines!$O18)),CostLines!$P18,0))</f>
        <v>0</v>
      </c>
      <c r="K42" s="17" t="n">
        <f aca="false">IF(CostLines!$F18="One-time",IF(K$4=CostLines!$N18,CostLines!$J18,0),IF(AND(K$4&gt;=CostLines!$N18,IF(CostLines!$O18="",TRUE(),K$4&lt;CostLines!$N18+CostLines!$O18)),CostLines!$P18,0))</f>
        <v>0</v>
      </c>
      <c r="L42" s="17" t="n">
        <f aca="false">IF(CostLines!$F18="One-time",IF(L$4=CostLines!$N18,CostLines!$J18,0),IF(AND(L$4&gt;=CostLines!$N18,IF(CostLines!$O18="",TRUE(),L$4&lt;CostLines!$N18+CostLines!$O18)),CostLines!$P18,0))</f>
        <v>0</v>
      </c>
      <c r="M42" s="17" t="n">
        <f aca="false">IF(CostLines!$F18="One-time",IF(M$4=CostLines!$N18,CostLines!$J18,0),IF(AND(M$4&gt;=CostLines!$N18,IF(CostLines!$O18="",TRUE(),M$4&lt;CostLines!$N18+CostLines!$O18)),CostLines!$P18,0))</f>
        <v>0</v>
      </c>
      <c r="N42" s="17" t="n">
        <f aca="false">IF(CostLines!$F18="One-time",IF(N$4=CostLines!$N18,CostLines!$J18,0),IF(AND(N$4&gt;=CostLines!$N18,IF(CostLines!$O18="",TRUE(),N$4&lt;CostLines!$N18+CostLines!$O18)),CostLines!$P18,0))</f>
        <v>0</v>
      </c>
      <c r="O42" s="17" t="n">
        <f aca="false">IF(CostLines!$F18="One-time",IF(O$4=CostLines!$N18,CostLines!$J18,0),IF(AND(O$4&gt;=CostLines!$N18,IF(CostLines!$O18="",TRUE(),O$4&lt;CostLines!$N18+CostLines!$O18)),CostLines!$P18,0))</f>
        <v>0</v>
      </c>
      <c r="P42" s="17" t="n">
        <f aca="false">IF(CostLines!$F18="One-time",IF(P$4=CostLines!$N18,CostLines!$J18,0),IF(AND(P$4&gt;=CostLines!$N18,IF(CostLines!$O18="",TRUE(),P$4&lt;CostLines!$N18+CostLines!$O18)),CostLines!$P18,0))</f>
        <v>0</v>
      </c>
      <c r="Q42" s="17" t="n">
        <f aca="false">IF(CostLines!$F18="One-time",IF(Q$4=CostLines!$N18,CostLines!$J18,0),IF(AND(Q$4&gt;=CostLines!$N18,IF(CostLines!$O18="",TRUE(),Q$4&lt;CostLines!$N18+CostLines!$O18)),CostLines!$P18,0))</f>
        <v>0</v>
      </c>
      <c r="R42" s="17" t="n">
        <f aca="false">IF(CostLines!$F18="One-time",IF(R$4=CostLines!$N18,CostLines!$J18,0),IF(AND(R$4&gt;=CostLines!$N18,IF(CostLines!$O18="",TRUE(),R$4&lt;CostLines!$N18+CostLines!$O18)),CostLines!$P18,0))</f>
        <v>0</v>
      </c>
      <c r="S42" s="17" t="n">
        <f aca="false">IF(CostLines!$F18="One-time",IF(S$4=CostLines!$N18,CostLines!$J18,0),IF(AND(S$4&gt;=CostLines!$N18,IF(CostLines!$O18="",TRUE(),S$4&lt;CostLines!$N18+CostLines!$O18)),CostLines!$P18,0))</f>
        <v>0</v>
      </c>
      <c r="T42" s="17" t="n">
        <f aca="false">IF(CostLines!$F18="One-time",IF(T$4=CostLines!$N18,CostLines!$J18,0),IF(AND(T$4&gt;=CostLines!$N18,IF(CostLines!$O18="",TRUE(),T$4&lt;CostLines!$N18+CostLines!$O18)),CostLines!$P18,0))</f>
        <v>0</v>
      </c>
      <c r="U42" s="17" t="n">
        <f aca="false">IF(CostLines!$F18="One-time",IF(U$4=CostLines!$N18,CostLines!$J18,0),IF(AND(U$4&gt;=CostLines!$N18,IF(CostLines!$O18="",TRUE(),U$4&lt;CostLines!$N18+CostLines!$O18)),CostLines!$P18,0))</f>
        <v>0</v>
      </c>
      <c r="V42" s="17" t="n">
        <f aca="false">IF(CostLines!$F18="One-time",IF(V$4=CostLines!$N18,CostLines!$J18,0),IF(AND(V$4&gt;=CostLines!$N18,IF(CostLines!$O18="",TRUE(),V$4&lt;CostLines!$N18+CostLines!$O18)),CostLines!$P18,0))</f>
        <v>0</v>
      </c>
      <c r="W42" s="17" t="n">
        <f aca="false">IF(CostLines!$F18="One-time",IF(W$4=CostLines!$N18,CostLines!$J18,0),IF(AND(W$4&gt;=CostLines!$N18,IF(CostLines!$O18="",TRUE(),W$4&lt;CostLines!$N18+CostLines!$O18)),CostLines!$P18,0))</f>
        <v>0</v>
      </c>
      <c r="X42" s="17" t="n">
        <f aca="false">IF(CostLines!$F18="One-time",IF(X$4=CostLines!$N18,CostLines!$J18,0),IF(AND(X$4&gt;=CostLines!$N18,IF(CostLines!$O18="",TRUE(),X$4&lt;CostLines!$N18+CostLines!$O18)),CostLines!$P18,0))</f>
        <v>0</v>
      </c>
      <c r="Y42" s="17" t="n">
        <f aca="false">IF(CostLines!$F18="One-time",IF(Y$4=CostLines!$N18,CostLines!$J18,0),IF(AND(Y$4&gt;=CostLines!$N18,IF(CostLines!$O18="",TRUE(),Y$4&lt;CostLines!$N18+CostLines!$O18)),CostLines!$P18,0))</f>
        <v>0</v>
      </c>
      <c r="Z42" s="17" t="n">
        <f aca="false">IF(CostLines!$F18="One-time",IF(Z$4=CostLines!$N18,CostLines!$J18,0),IF(AND(Z$4&gt;=CostLines!$N18,IF(CostLines!$O18="",TRUE(),Z$4&lt;CostLines!$N18+CostLines!$O18)),CostLines!$P18,0))</f>
        <v>0</v>
      </c>
      <c r="AA42" s="17" t="n">
        <f aca="false">IF(CostLines!$F18="One-time",IF(AA$4=CostLines!$N18,CostLines!$J18,0),IF(AND(AA$4&gt;=CostLines!$N18,IF(CostLines!$O18="",TRUE(),AA$4&lt;CostLines!$N18+CostLines!$O18)),CostLines!$P18,0))</f>
        <v>0</v>
      </c>
      <c r="AB42" s="17" t="n">
        <f aca="false">IF(CostLines!$F18="One-time",IF(AB$4=CostLines!$N18,CostLines!$J18,0),IF(AND(AB$4&gt;=CostLines!$N18,IF(CostLines!$O18="",TRUE(),AB$4&lt;CostLines!$N18+CostLines!$O18)),CostLines!$P18,0))</f>
        <v>0</v>
      </c>
      <c r="AC42" s="17" t="n">
        <f aca="false">IF(CostLines!$F18="One-time",IF(AC$4=CostLines!$N18,CostLines!$J18,0),IF(AND(AC$4&gt;=CostLines!$N18,IF(CostLines!$O18="",TRUE(),AC$4&lt;CostLines!$N18+CostLines!$O18)),CostLines!$P18,0))</f>
        <v>0</v>
      </c>
      <c r="AD42" s="17" t="n">
        <f aca="false">IF(CostLines!$F18="One-time",IF(AD$4=CostLines!$N18,CostLines!$J18,0),IF(AND(AD$4&gt;=CostLines!$N18,IF(CostLines!$O18="",TRUE(),AD$4&lt;CostLines!$N18+CostLines!$O18)),CostLines!$P18,0))</f>
        <v>0</v>
      </c>
      <c r="AE42" s="17" t="n">
        <f aca="false">IF(CostLines!$F18="One-time",IF(AE$4=CostLines!$N18,CostLines!$J18,0),IF(AND(AE$4&gt;=CostLines!$N18,IF(CostLines!$O18="",TRUE(),AE$4&lt;CostLines!$N18+CostLines!$O18)),CostLines!$P18,0))</f>
        <v>0</v>
      </c>
      <c r="AF42" s="17" t="n">
        <f aca="false">IF(CostLines!$F18="One-time",IF(AF$4=CostLines!$N18,CostLines!$J18,0),IF(AND(AF$4&gt;=CostLines!$N18,IF(CostLines!$O18="",TRUE(),AF$4&lt;CostLines!$N18+CostLines!$O18)),CostLines!$P18,0))</f>
        <v>0</v>
      </c>
      <c r="AG42" s="17" t="n">
        <f aca="false">IF(CostLines!$F18="One-time",IF(AG$4=CostLines!$N18,CostLines!$J18,0),IF(AND(AG$4&gt;=CostLines!$N18,IF(CostLines!$O18="",TRUE(),AG$4&lt;CostLines!$N18+CostLines!$O18)),CostLines!$P18,0))</f>
        <v>0</v>
      </c>
      <c r="AH42" s="17" t="n">
        <f aca="false">IF(CostLines!$F18="One-time",IF(AH$4=CostLines!$N18,CostLines!$J18,0),IF(AND(AH$4&gt;=CostLines!$N18,IF(CostLines!$O18="",TRUE(),AH$4&lt;CostLines!$N18+CostLines!$O18)),CostLines!$P18,0))</f>
        <v>0</v>
      </c>
      <c r="AI42" s="17" t="n">
        <f aca="false">IF(CostLines!$F18="One-time",IF(AI$4=CostLines!$N18,CostLines!$J18,0),IF(AND(AI$4&gt;=CostLines!$N18,IF(CostLines!$O18="",TRUE(),AI$4&lt;CostLines!$N18+CostLines!$O18)),CostLines!$P18,0))</f>
        <v>0</v>
      </c>
      <c r="AJ42" s="17" t="n">
        <f aca="false">IF(CostLines!$F18="One-time",IF(AJ$4=CostLines!$N18,CostLines!$J18,0),IF(AND(AJ$4&gt;=CostLines!$N18,IF(CostLines!$O18="",TRUE(),AJ$4&lt;CostLines!$N18+CostLines!$O18)),CostLines!$P18,0))</f>
        <v>0</v>
      </c>
      <c r="AK42" s="17" t="n">
        <f aca="false">IF(CostLines!$F18="One-time",IF(AK$4=CostLines!$N18,CostLines!$J18,0),IF(AND(AK$4&gt;=CostLines!$N18,IF(CostLines!$O18="",TRUE(),AK$4&lt;CostLines!$N18+CostLines!$O18)),CostLines!$P18,0))</f>
        <v>0</v>
      </c>
      <c r="AL42" s="17" t="n">
        <f aca="false">IF(CostLines!$F18="One-time",IF(AL$4=CostLines!$N18,CostLines!$J18,0),IF(AND(AL$4&gt;=CostLines!$N18,IF(CostLines!$O18="",TRUE(),AL$4&lt;CostLines!$N18+CostLines!$O18)),CostLines!$P18,0))</f>
        <v>0</v>
      </c>
      <c r="AM42" s="17" t="n">
        <f aca="false">IF(CostLines!$F18="One-time",IF(AM$4=CostLines!$N18,CostLines!$J18,0),IF(AND(AM$4&gt;=CostLines!$N18,IF(CostLines!$O18="",TRUE(),AM$4&lt;CostLines!$N18+CostLines!$O18)),CostLines!$P18,0))</f>
        <v>0</v>
      </c>
      <c r="AN42" s="17" t="n">
        <f aca="false">IF(CostLines!$F18="One-time",IF(AN$4=CostLines!$N18,CostLines!$J18,0),IF(AND(AN$4&gt;=CostLines!$N18,IF(CostLines!$O18="",TRUE(),AN$4&lt;CostLines!$N18+CostLines!$O18)),CostLines!$P18,0))</f>
        <v>0</v>
      </c>
      <c r="AO42" s="17" t="n">
        <f aca="false">IF(CostLines!$F18="One-time",IF(AO$4=CostLines!$N18,CostLines!$J18,0),IF(AND(AO$4&gt;=CostLines!$N18,IF(CostLines!$O18="",TRUE(),AO$4&lt;CostLines!$N18+CostLines!$O18)),CostLines!$P18,0))</f>
        <v>0</v>
      </c>
    </row>
    <row r="43" customFormat="false" ht="15" hidden="false" customHeight="false" outlineLevel="0" collapsed="false">
      <c r="A43" s="24" t="str">
        <f aca="false">CostLines!B19</f>
        <v>Ongoing corporate / employment counsel</v>
      </c>
      <c r="B43" s="24" t="str">
        <f aca="false">CostLines!C19</f>
        <v>EnergyWave, Inc.</v>
      </c>
      <c r="C43" s="24" t="str">
        <f aca="false">CostLines!D19</f>
        <v>Legal</v>
      </c>
      <c r="D43" s="24" t="str">
        <f aca="false">CostLines!E19</f>
        <v>Corporate</v>
      </c>
      <c r="E43" s="30" t="n">
        <f aca="false">SUM(F43:AO43)</f>
        <v>180000</v>
      </c>
      <c r="F43" s="17" t="n">
        <f aca="false">IF(CostLines!$F19="One-time",IF(F$4=CostLines!$N19,CostLines!$J19,0),IF(AND(F$4&gt;=CostLines!$N19,IF(CostLines!$O19="",TRUE(),F$4&lt;CostLines!$N19+CostLines!$O19)),CostLines!$P19,0))</f>
        <v>5000</v>
      </c>
      <c r="G43" s="17" t="n">
        <f aca="false">IF(CostLines!$F19="One-time",IF(G$4=CostLines!$N19,CostLines!$J19,0),IF(AND(G$4&gt;=CostLines!$N19,IF(CostLines!$O19="",TRUE(),G$4&lt;CostLines!$N19+CostLines!$O19)),CostLines!$P19,0))</f>
        <v>5000</v>
      </c>
      <c r="H43" s="17" t="n">
        <f aca="false">IF(CostLines!$F19="One-time",IF(H$4=CostLines!$N19,CostLines!$J19,0),IF(AND(H$4&gt;=CostLines!$N19,IF(CostLines!$O19="",TRUE(),H$4&lt;CostLines!$N19+CostLines!$O19)),CostLines!$P19,0))</f>
        <v>5000</v>
      </c>
      <c r="I43" s="17" t="n">
        <f aca="false">IF(CostLines!$F19="One-time",IF(I$4=CostLines!$N19,CostLines!$J19,0),IF(AND(I$4&gt;=CostLines!$N19,IF(CostLines!$O19="",TRUE(),I$4&lt;CostLines!$N19+CostLines!$O19)),CostLines!$P19,0))</f>
        <v>5000</v>
      </c>
      <c r="J43" s="17" t="n">
        <f aca="false">IF(CostLines!$F19="One-time",IF(J$4=CostLines!$N19,CostLines!$J19,0),IF(AND(J$4&gt;=CostLines!$N19,IF(CostLines!$O19="",TRUE(),J$4&lt;CostLines!$N19+CostLines!$O19)),CostLines!$P19,0))</f>
        <v>5000</v>
      </c>
      <c r="K43" s="17" t="n">
        <f aca="false">IF(CostLines!$F19="One-time",IF(K$4=CostLines!$N19,CostLines!$J19,0),IF(AND(K$4&gt;=CostLines!$N19,IF(CostLines!$O19="",TRUE(),K$4&lt;CostLines!$N19+CostLines!$O19)),CostLines!$P19,0))</f>
        <v>5000</v>
      </c>
      <c r="L43" s="17" t="n">
        <f aca="false">IF(CostLines!$F19="One-time",IF(L$4=CostLines!$N19,CostLines!$J19,0),IF(AND(L$4&gt;=CostLines!$N19,IF(CostLines!$O19="",TRUE(),L$4&lt;CostLines!$N19+CostLines!$O19)),CostLines!$P19,0))</f>
        <v>5000</v>
      </c>
      <c r="M43" s="17" t="n">
        <f aca="false">IF(CostLines!$F19="One-time",IF(M$4=CostLines!$N19,CostLines!$J19,0),IF(AND(M$4&gt;=CostLines!$N19,IF(CostLines!$O19="",TRUE(),M$4&lt;CostLines!$N19+CostLines!$O19)),CostLines!$P19,0))</f>
        <v>5000</v>
      </c>
      <c r="N43" s="17" t="n">
        <f aca="false">IF(CostLines!$F19="One-time",IF(N$4=CostLines!$N19,CostLines!$J19,0),IF(AND(N$4&gt;=CostLines!$N19,IF(CostLines!$O19="",TRUE(),N$4&lt;CostLines!$N19+CostLines!$O19)),CostLines!$P19,0))</f>
        <v>5000</v>
      </c>
      <c r="O43" s="17" t="n">
        <f aca="false">IF(CostLines!$F19="One-time",IF(O$4=CostLines!$N19,CostLines!$J19,0),IF(AND(O$4&gt;=CostLines!$N19,IF(CostLines!$O19="",TRUE(),O$4&lt;CostLines!$N19+CostLines!$O19)),CostLines!$P19,0))</f>
        <v>5000</v>
      </c>
      <c r="P43" s="17" t="n">
        <f aca="false">IF(CostLines!$F19="One-time",IF(P$4=CostLines!$N19,CostLines!$J19,0),IF(AND(P$4&gt;=CostLines!$N19,IF(CostLines!$O19="",TRUE(),P$4&lt;CostLines!$N19+CostLines!$O19)),CostLines!$P19,0))</f>
        <v>5000</v>
      </c>
      <c r="Q43" s="17" t="n">
        <f aca="false">IF(CostLines!$F19="One-time",IF(Q$4=CostLines!$N19,CostLines!$J19,0),IF(AND(Q$4&gt;=CostLines!$N19,IF(CostLines!$O19="",TRUE(),Q$4&lt;CostLines!$N19+CostLines!$O19)),CostLines!$P19,0))</f>
        <v>5000</v>
      </c>
      <c r="R43" s="17" t="n">
        <f aca="false">IF(CostLines!$F19="One-time",IF(R$4=CostLines!$N19,CostLines!$J19,0),IF(AND(R$4&gt;=CostLines!$N19,IF(CostLines!$O19="",TRUE(),R$4&lt;CostLines!$N19+CostLines!$O19)),CostLines!$P19,0))</f>
        <v>5000</v>
      </c>
      <c r="S43" s="17" t="n">
        <f aca="false">IF(CostLines!$F19="One-time",IF(S$4=CostLines!$N19,CostLines!$J19,0),IF(AND(S$4&gt;=CostLines!$N19,IF(CostLines!$O19="",TRUE(),S$4&lt;CostLines!$N19+CostLines!$O19)),CostLines!$P19,0))</f>
        <v>5000</v>
      </c>
      <c r="T43" s="17" t="n">
        <f aca="false">IF(CostLines!$F19="One-time",IF(T$4=CostLines!$N19,CostLines!$J19,0),IF(AND(T$4&gt;=CostLines!$N19,IF(CostLines!$O19="",TRUE(),T$4&lt;CostLines!$N19+CostLines!$O19)),CostLines!$P19,0))</f>
        <v>5000</v>
      </c>
      <c r="U43" s="17" t="n">
        <f aca="false">IF(CostLines!$F19="One-time",IF(U$4=CostLines!$N19,CostLines!$J19,0),IF(AND(U$4&gt;=CostLines!$N19,IF(CostLines!$O19="",TRUE(),U$4&lt;CostLines!$N19+CostLines!$O19)),CostLines!$P19,0))</f>
        <v>5000</v>
      </c>
      <c r="V43" s="17" t="n">
        <f aca="false">IF(CostLines!$F19="One-time",IF(V$4=CostLines!$N19,CostLines!$J19,0),IF(AND(V$4&gt;=CostLines!$N19,IF(CostLines!$O19="",TRUE(),V$4&lt;CostLines!$N19+CostLines!$O19)),CostLines!$P19,0))</f>
        <v>5000</v>
      </c>
      <c r="W43" s="17" t="n">
        <f aca="false">IF(CostLines!$F19="One-time",IF(W$4=CostLines!$N19,CostLines!$J19,0),IF(AND(W$4&gt;=CostLines!$N19,IF(CostLines!$O19="",TRUE(),W$4&lt;CostLines!$N19+CostLines!$O19)),CostLines!$P19,0))</f>
        <v>5000</v>
      </c>
      <c r="X43" s="17" t="n">
        <f aca="false">IF(CostLines!$F19="One-time",IF(X$4=CostLines!$N19,CostLines!$J19,0),IF(AND(X$4&gt;=CostLines!$N19,IF(CostLines!$O19="",TRUE(),X$4&lt;CostLines!$N19+CostLines!$O19)),CostLines!$P19,0))</f>
        <v>5000</v>
      </c>
      <c r="Y43" s="17" t="n">
        <f aca="false">IF(CostLines!$F19="One-time",IF(Y$4=CostLines!$N19,CostLines!$J19,0),IF(AND(Y$4&gt;=CostLines!$N19,IF(CostLines!$O19="",TRUE(),Y$4&lt;CostLines!$N19+CostLines!$O19)),CostLines!$P19,0))</f>
        <v>5000</v>
      </c>
      <c r="Z43" s="17" t="n">
        <f aca="false">IF(CostLines!$F19="One-time",IF(Z$4=CostLines!$N19,CostLines!$J19,0),IF(AND(Z$4&gt;=CostLines!$N19,IF(CostLines!$O19="",TRUE(),Z$4&lt;CostLines!$N19+CostLines!$O19)),CostLines!$P19,0))</f>
        <v>5000</v>
      </c>
      <c r="AA43" s="17" t="n">
        <f aca="false">IF(CostLines!$F19="One-time",IF(AA$4=CostLines!$N19,CostLines!$J19,0),IF(AND(AA$4&gt;=CostLines!$N19,IF(CostLines!$O19="",TRUE(),AA$4&lt;CostLines!$N19+CostLines!$O19)),CostLines!$P19,0))</f>
        <v>5000</v>
      </c>
      <c r="AB43" s="17" t="n">
        <f aca="false">IF(CostLines!$F19="One-time",IF(AB$4=CostLines!$N19,CostLines!$J19,0),IF(AND(AB$4&gt;=CostLines!$N19,IF(CostLines!$O19="",TRUE(),AB$4&lt;CostLines!$N19+CostLines!$O19)),CostLines!$P19,0))</f>
        <v>5000</v>
      </c>
      <c r="AC43" s="17" t="n">
        <f aca="false">IF(CostLines!$F19="One-time",IF(AC$4=CostLines!$N19,CostLines!$J19,0),IF(AND(AC$4&gt;=CostLines!$N19,IF(CostLines!$O19="",TRUE(),AC$4&lt;CostLines!$N19+CostLines!$O19)),CostLines!$P19,0))</f>
        <v>5000</v>
      </c>
      <c r="AD43" s="17" t="n">
        <f aca="false">IF(CostLines!$F19="One-time",IF(AD$4=CostLines!$N19,CostLines!$J19,0),IF(AND(AD$4&gt;=CostLines!$N19,IF(CostLines!$O19="",TRUE(),AD$4&lt;CostLines!$N19+CostLines!$O19)),CostLines!$P19,0))</f>
        <v>5000</v>
      </c>
      <c r="AE43" s="17" t="n">
        <f aca="false">IF(CostLines!$F19="One-time",IF(AE$4=CostLines!$N19,CostLines!$J19,0),IF(AND(AE$4&gt;=CostLines!$N19,IF(CostLines!$O19="",TRUE(),AE$4&lt;CostLines!$N19+CostLines!$O19)),CostLines!$P19,0))</f>
        <v>5000</v>
      </c>
      <c r="AF43" s="17" t="n">
        <f aca="false">IF(CostLines!$F19="One-time",IF(AF$4=CostLines!$N19,CostLines!$J19,0),IF(AND(AF$4&gt;=CostLines!$N19,IF(CostLines!$O19="",TRUE(),AF$4&lt;CostLines!$N19+CostLines!$O19)),CostLines!$P19,0))</f>
        <v>5000</v>
      </c>
      <c r="AG43" s="17" t="n">
        <f aca="false">IF(CostLines!$F19="One-time",IF(AG$4=CostLines!$N19,CostLines!$J19,0),IF(AND(AG$4&gt;=CostLines!$N19,IF(CostLines!$O19="",TRUE(),AG$4&lt;CostLines!$N19+CostLines!$O19)),CostLines!$P19,0))</f>
        <v>5000</v>
      </c>
      <c r="AH43" s="17" t="n">
        <f aca="false">IF(CostLines!$F19="One-time",IF(AH$4=CostLines!$N19,CostLines!$J19,0),IF(AND(AH$4&gt;=CostLines!$N19,IF(CostLines!$O19="",TRUE(),AH$4&lt;CostLines!$N19+CostLines!$O19)),CostLines!$P19,0))</f>
        <v>5000</v>
      </c>
      <c r="AI43" s="17" t="n">
        <f aca="false">IF(CostLines!$F19="One-time",IF(AI$4=CostLines!$N19,CostLines!$J19,0),IF(AND(AI$4&gt;=CostLines!$N19,IF(CostLines!$O19="",TRUE(),AI$4&lt;CostLines!$N19+CostLines!$O19)),CostLines!$P19,0))</f>
        <v>5000</v>
      </c>
      <c r="AJ43" s="17" t="n">
        <f aca="false">IF(CostLines!$F19="One-time",IF(AJ$4=CostLines!$N19,CostLines!$J19,0),IF(AND(AJ$4&gt;=CostLines!$N19,IF(CostLines!$O19="",TRUE(),AJ$4&lt;CostLines!$N19+CostLines!$O19)),CostLines!$P19,0))</f>
        <v>5000</v>
      </c>
      <c r="AK43" s="17" t="n">
        <f aca="false">IF(CostLines!$F19="One-time",IF(AK$4=CostLines!$N19,CostLines!$J19,0),IF(AND(AK$4&gt;=CostLines!$N19,IF(CostLines!$O19="",TRUE(),AK$4&lt;CostLines!$N19+CostLines!$O19)),CostLines!$P19,0))</f>
        <v>5000</v>
      </c>
      <c r="AL43" s="17" t="n">
        <f aca="false">IF(CostLines!$F19="One-time",IF(AL$4=CostLines!$N19,CostLines!$J19,0),IF(AND(AL$4&gt;=CostLines!$N19,IF(CostLines!$O19="",TRUE(),AL$4&lt;CostLines!$N19+CostLines!$O19)),CostLines!$P19,0))</f>
        <v>5000</v>
      </c>
      <c r="AM43" s="17" t="n">
        <f aca="false">IF(CostLines!$F19="One-time",IF(AM$4=CostLines!$N19,CostLines!$J19,0),IF(AND(AM$4&gt;=CostLines!$N19,IF(CostLines!$O19="",TRUE(),AM$4&lt;CostLines!$N19+CostLines!$O19)),CostLines!$P19,0))</f>
        <v>5000</v>
      </c>
      <c r="AN43" s="17" t="n">
        <f aca="false">IF(CostLines!$F19="One-time",IF(AN$4=CostLines!$N19,CostLines!$J19,0),IF(AND(AN$4&gt;=CostLines!$N19,IF(CostLines!$O19="",TRUE(),AN$4&lt;CostLines!$N19+CostLines!$O19)),CostLines!$P19,0))</f>
        <v>5000</v>
      </c>
      <c r="AO43" s="17" t="n">
        <f aca="false">IF(CostLines!$F19="One-time",IF(AO$4=CostLines!$N19,CostLines!$J19,0),IF(AND(AO$4&gt;=CostLines!$N19,IF(CostLines!$O19="",TRUE(),AO$4&lt;CostLines!$N19+CostLines!$O19)),CostLines!$P19,0))</f>
        <v>5000</v>
      </c>
    </row>
    <row r="44" customFormat="false" ht="15" hidden="false" customHeight="false" outlineLevel="0" collapsed="false">
      <c r="A44" s="24" t="str">
        <f aca="false">CostLines!B20</f>
        <v>Outsourced finance (E57 or equivalent) — build phase</v>
      </c>
      <c r="B44" s="24" t="str">
        <f aca="false">CostLines!C20</f>
        <v>EnergyWave, Inc.</v>
      </c>
      <c r="C44" s="24" t="str">
        <f aca="false">CostLines!D20</f>
        <v>Finance</v>
      </c>
      <c r="D44" s="24" t="str">
        <f aca="false">CostLines!E20</f>
        <v>Outsourced finance</v>
      </c>
      <c r="E44" s="30" t="n">
        <f aca="false">SUM(F44:AO44)</f>
        <v>150000</v>
      </c>
      <c r="F44" s="17" t="n">
        <f aca="false">IF(CostLines!$F20="One-time",IF(F$4=CostLines!$N20,CostLines!$J20,0),IF(AND(F$4&gt;=CostLines!$N20,IF(CostLines!$O20="",TRUE(),F$4&lt;CostLines!$N20+CostLines!$O20)),CostLines!$P20,0))</f>
        <v>25000</v>
      </c>
      <c r="G44" s="17" t="n">
        <f aca="false">IF(CostLines!$F20="One-time",IF(G$4=CostLines!$N20,CostLines!$J20,0),IF(AND(G$4&gt;=CostLines!$N20,IF(CostLines!$O20="",TRUE(),G$4&lt;CostLines!$N20+CostLines!$O20)),CostLines!$P20,0))</f>
        <v>25000</v>
      </c>
      <c r="H44" s="17" t="n">
        <f aca="false">IF(CostLines!$F20="One-time",IF(H$4=CostLines!$N20,CostLines!$J20,0),IF(AND(H$4&gt;=CostLines!$N20,IF(CostLines!$O20="",TRUE(),H$4&lt;CostLines!$N20+CostLines!$O20)),CostLines!$P20,0))</f>
        <v>25000</v>
      </c>
      <c r="I44" s="17" t="n">
        <f aca="false">IF(CostLines!$F20="One-time",IF(I$4=CostLines!$N20,CostLines!$J20,0),IF(AND(I$4&gt;=CostLines!$N20,IF(CostLines!$O20="",TRUE(),I$4&lt;CostLines!$N20+CostLines!$O20)),CostLines!$P20,0))</f>
        <v>25000</v>
      </c>
      <c r="J44" s="17" t="n">
        <f aca="false">IF(CostLines!$F20="One-time",IF(J$4=CostLines!$N20,CostLines!$J20,0),IF(AND(J$4&gt;=CostLines!$N20,IF(CostLines!$O20="",TRUE(),J$4&lt;CostLines!$N20+CostLines!$O20)),CostLines!$P20,0))</f>
        <v>25000</v>
      </c>
      <c r="K44" s="17" t="n">
        <f aca="false">IF(CostLines!$F20="One-time",IF(K$4=CostLines!$N20,CostLines!$J20,0),IF(AND(K$4&gt;=CostLines!$N20,IF(CostLines!$O20="",TRUE(),K$4&lt;CostLines!$N20+CostLines!$O20)),CostLines!$P20,0))</f>
        <v>25000</v>
      </c>
      <c r="L44" s="17" t="n">
        <f aca="false">IF(CostLines!$F20="One-time",IF(L$4=CostLines!$N20,CostLines!$J20,0),IF(AND(L$4&gt;=CostLines!$N20,IF(CostLines!$O20="",TRUE(),L$4&lt;CostLines!$N20+CostLines!$O20)),CostLines!$P20,0))</f>
        <v>0</v>
      </c>
      <c r="M44" s="17" t="n">
        <f aca="false">IF(CostLines!$F20="One-time",IF(M$4=CostLines!$N20,CostLines!$J20,0),IF(AND(M$4&gt;=CostLines!$N20,IF(CostLines!$O20="",TRUE(),M$4&lt;CostLines!$N20+CostLines!$O20)),CostLines!$P20,0))</f>
        <v>0</v>
      </c>
      <c r="N44" s="17" t="n">
        <f aca="false">IF(CostLines!$F20="One-time",IF(N$4=CostLines!$N20,CostLines!$J20,0),IF(AND(N$4&gt;=CostLines!$N20,IF(CostLines!$O20="",TRUE(),N$4&lt;CostLines!$N20+CostLines!$O20)),CostLines!$P20,0))</f>
        <v>0</v>
      </c>
      <c r="O44" s="17" t="n">
        <f aca="false">IF(CostLines!$F20="One-time",IF(O$4=CostLines!$N20,CostLines!$J20,0),IF(AND(O$4&gt;=CostLines!$N20,IF(CostLines!$O20="",TRUE(),O$4&lt;CostLines!$N20+CostLines!$O20)),CostLines!$P20,0))</f>
        <v>0</v>
      </c>
      <c r="P44" s="17" t="n">
        <f aca="false">IF(CostLines!$F20="One-time",IF(P$4=CostLines!$N20,CostLines!$J20,0),IF(AND(P$4&gt;=CostLines!$N20,IF(CostLines!$O20="",TRUE(),P$4&lt;CostLines!$N20+CostLines!$O20)),CostLines!$P20,0))</f>
        <v>0</v>
      </c>
      <c r="Q44" s="17" t="n">
        <f aca="false">IF(CostLines!$F20="One-time",IF(Q$4=CostLines!$N20,CostLines!$J20,0),IF(AND(Q$4&gt;=CostLines!$N20,IF(CostLines!$O20="",TRUE(),Q$4&lt;CostLines!$N20+CostLines!$O20)),CostLines!$P20,0))</f>
        <v>0</v>
      </c>
      <c r="R44" s="17" t="n">
        <f aca="false">IF(CostLines!$F20="One-time",IF(R$4=CostLines!$N20,CostLines!$J20,0),IF(AND(R$4&gt;=CostLines!$N20,IF(CostLines!$O20="",TRUE(),R$4&lt;CostLines!$N20+CostLines!$O20)),CostLines!$P20,0))</f>
        <v>0</v>
      </c>
      <c r="S44" s="17" t="n">
        <f aca="false">IF(CostLines!$F20="One-time",IF(S$4=CostLines!$N20,CostLines!$J20,0),IF(AND(S$4&gt;=CostLines!$N20,IF(CostLines!$O20="",TRUE(),S$4&lt;CostLines!$N20+CostLines!$O20)),CostLines!$P20,0))</f>
        <v>0</v>
      </c>
      <c r="T44" s="17" t="n">
        <f aca="false">IF(CostLines!$F20="One-time",IF(T$4=CostLines!$N20,CostLines!$J20,0),IF(AND(T$4&gt;=CostLines!$N20,IF(CostLines!$O20="",TRUE(),T$4&lt;CostLines!$N20+CostLines!$O20)),CostLines!$P20,0))</f>
        <v>0</v>
      </c>
      <c r="U44" s="17" t="n">
        <f aca="false">IF(CostLines!$F20="One-time",IF(U$4=CostLines!$N20,CostLines!$J20,0),IF(AND(U$4&gt;=CostLines!$N20,IF(CostLines!$O20="",TRUE(),U$4&lt;CostLines!$N20+CostLines!$O20)),CostLines!$P20,0))</f>
        <v>0</v>
      </c>
      <c r="V44" s="17" t="n">
        <f aca="false">IF(CostLines!$F20="One-time",IF(V$4=CostLines!$N20,CostLines!$J20,0),IF(AND(V$4&gt;=CostLines!$N20,IF(CostLines!$O20="",TRUE(),V$4&lt;CostLines!$N20+CostLines!$O20)),CostLines!$P20,0))</f>
        <v>0</v>
      </c>
      <c r="W44" s="17" t="n">
        <f aca="false">IF(CostLines!$F20="One-time",IF(W$4=CostLines!$N20,CostLines!$J20,0),IF(AND(W$4&gt;=CostLines!$N20,IF(CostLines!$O20="",TRUE(),W$4&lt;CostLines!$N20+CostLines!$O20)),CostLines!$P20,0))</f>
        <v>0</v>
      </c>
      <c r="X44" s="17" t="n">
        <f aca="false">IF(CostLines!$F20="One-time",IF(X$4=CostLines!$N20,CostLines!$J20,0),IF(AND(X$4&gt;=CostLines!$N20,IF(CostLines!$O20="",TRUE(),X$4&lt;CostLines!$N20+CostLines!$O20)),CostLines!$P20,0))</f>
        <v>0</v>
      </c>
      <c r="Y44" s="17" t="n">
        <f aca="false">IF(CostLines!$F20="One-time",IF(Y$4=CostLines!$N20,CostLines!$J20,0),IF(AND(Y$4&gt;=CostLines!$N20,IF(CostLines!$O20="",TRUE(),Y$4&lt;CostLines!$N20+CostLines!$O20)),CostLines!$P20,0))</f>
        <v>0</v>
      </c>
      <c r="Z44" s="17" t="n">
        <f aca="false">IF(CostLines!$F20="One-time",IF(Z$4=CostLines!$N20,CostLines!$J20,0),IF(AND(Z$4&gt;=CostLines!$N20,IF(CostLines!$O20="",TRUE(),Z$4&lt;CostLines!$N20+CostLines!$O20)),CostLines!$P20,0))</f>
        <v>0</v>
      </c>
      <c r="AA44" s="17" t="n">
        <f aca="false">IF(CostLines!$F20="One-time",IF(AA$4=CostLines!$N20,CostLines!$J20,0),IF(AND(AA$4&gt;=CostLines!$N20,IF(CostLines!$O20="",TRUE(),AA$4&lt;CostLines!$N20+CostLines!$O20)),CostLines!$P20,0))</f>
        <v>0</v>
      </c>
      <c r="AB44" s="17" t="n">
        <f aca="false">IF(CostLines!$F20="One-time",IF(AB$4=CostLines!$N20,CostLines!$J20,0),IF(AND(AB$4&gt;=CostLines!$N20,IF(CostLines!$O20="",TRUE(),AB$4&lt;CostLines!$N20+CostLines!$O20)),CostLines!$P20,0))</f>
        <v>0</v>
      </c>
      <c r="AC44" s="17" t="n">
        <f aca="false">IF(CostLines!$F20="One-time",IF(AC$4=CostLines!$N20,CostLines!$J20,0),IF(AND(AC$4&gt;=CostLines!$N20,IF(CostLines!$O20="",TRUE(),AC$4&lt;CostLines!$N20+CostLines!$O20)),CostLines!$P20,0))</f>
        <v>0</v>
      </c>
      <c r="AD44" s="17" t="n">
        <f aca="false">IF(CostLines!$F20="One-time",IF(AD$4=CostLines!$N20,CostLines!$J20,0),IF(AND(AD$4&gt;=CostLines!$N20,IF(CostLines!$O20="",TRUE(),AD$4&lt;CostLines!$N20+CostLines!$O20)),CostLines!$P20,0))</f>
        <v>0</v>
      </c>
      <c r="AE44" s="17" t="n">
        <f aca="false">IF(CostLines!$F20="One-time",IF(AE$4=CostLines!$N20,CostLines!$J20,0),IF(AND(AE$4&gt;=CostLines!$N20,IF(CostLines!$O20="",TRUE(),AE$4&lt;CostLines!$N20+CostLines!$O20)),CostLines!$P20,0))</f>
        <v>0</v>
      </c>
      <c r="AF44" s="17" t="n">
        <f aca="false">IF(CostLines!$F20="One-time",IF(AF$4=CostLines!$N20,CostLines!$J20,0),IF(AND(AF$4&gt;=CostLines!$N20,IF(CostLines!$O20="",TRUE(),AF$4&lt;CostLines!$N20+CostLines!$O20)),CostLines!$P20,0))</f>
        <v>0</v>
      </c>
      <c r="AG44" s="17" t="n">
        <f aca="false">IF(CostLines!$F20="One-time",IF(AG$4=CostLines!$N20,CostLines!$J20,0),IF(AND(AG$4&gt;=CostLines!$N20,IF(CostLines!$O20="",TRUE(),AG$4&lt;CostLines!$N20+CostLines!$O20)),CostLines!$P20,0))</f>
        <v>0</v>
      </c>
      <c r="AH44" s="17" t="n">
        <f aca="false">IF(CostLines!$F20="One-time",IF(AH$4=CostLines!$N20,CostLines!$J20,0),IF(AND(AH$4&gt;=CostLines!$N20,IF(CostLines!$O20="",TRUE(),AH$4&lt;CostLines!$N20+CostLines!$O20)),CostLines!$P20,0))</f>
        <v>0</v>
      </c>
      <c r="AI44" s="17" t="n">
        <f aca="false">IF(CostLines!$F20="One-time",IF(AI$4=CostLines!$N20,CostLines!$J20,0),IF(AND(AI$4&gt;=CostLines!$N20,IF(CostLines!$O20="",TRUE(),AI$4&lt;CostLines!$N20+CostLines!$O20)),CostLines!$P20,0))</f>
        <v>0</v>
      </c>
      <c r="AJ44" s="17" t="n">
        <f aca="false">IF(CostLines!$F20="One-time",IF(AJ$4=CostLines!$N20,CostLines!$J20,0),IF(AND(AJ$4&gt;=CostLines!$N20,IF(CostLines!$O20="",TRUE(),AJ$4&lt;CostLines!$N20+CostLines!$O20)),CostLines!$P20,0))</f>
        <v>0</v>
      </c>
      <c r="AK44" s="17" t="n">
        <f aca="false">IF(CostLines!$F20="One-time",IF(AK$4=CostLines!$N20,CostLines!$J20,0),IF(AND(AK$4&gt;=CostLines!$N20,IF(CostLines!$O20="",TRUE(),AK$4&lt;CostLines!$N20+CostLines!$O20)),CostLines!$P20,0))</f>
        <v>0</v>
      </c>
      <c r="AL44" s="17" t="n">
        <f aca="false">IF(CostLines!$F20="One-time",IF(AL$4=CostLines!$N20,CostLines!$J20,0),IF(AND(AL$4&gt;=CostLines!$N20,IF(CostLines!$O20="",TRUE(),AL$4&lt;CostLines!$N20+CostLines!$O20)),CostLines!$P20,0))</f>
        <v>0</v>
      </c>
      <c r="AM44" s="17" t="n">
        <f aca="false">IF(CostLines!$F20="One-time",IF(AM$4=CostLines!$N20,CostLines!$J20,0),IF(AND(AM$4&gt;=CostLines!$N20,IF(CostLines!$O20="",TRUE(),AM$4&lt;CostLines!$N20+CostLines!$O20)),CostLines!$P20,0))</f>
        <v>0</v>
      </c>
      <c r="AN44" s="17" t="n">
        <f aca="false">IF(CostLines!$F20="One-time",IF(AN$4=CostLines!$N20,CostLines!$J20,0),IF(AND(AN$4&gt;=CostLines!$N20,IF(CostLines!$O20="",TRUE(),AN$4&lt;CostLines!$N20+CostLines!$O20)),CostLines!$P20,0))</f>
        <v>0</v>
      </c>
      <c r="AO44" s="17" t="n">
        <f aca="false">IF(CostLines!$F20="One-time",IF(AO$4=CostLines!$N20,CostLines!$J20,0),IF(AND(AO$4&gt;=CostLines!$N20,IF(CostLines!$O20="",TRUE(),AO$4&lt;CostLines!$N20+CostLines!$O20)),CostLines!$P20,0))</f>
        <v>0</v>
      </c>
    </row>
    <row r="45" customFormat="false" ht="15" hidden="false" customHeight="false" outlineLevel="0" collapsed="false">
      <c r="A45" s="24" t="str">
        <f aca="false">CostLines!B21</f>
        <v>Outsourced finance (E57 or equivalent) — maintenance</v>
      </c>
      <c r="B45" s="24" t="str">
        <f aca="false">CostLines!C21</f>
        <v>EnergyWave, Inc.</v>
      </c>
      <c r="C45" s="24" t="str">
        <f aca="false">CostLines!D21</f>
        <v>Finance</v>
      </c>
      <c r="D45" s="24" t="str">
        <f aca="false">CostLines!E21</f>
        <v>Outsourced finance</v>
      </c>
      <c r="E45" s="30" t="n">
        <f aca="false">SUM(F45:AO45)</f>
        <v>450000</v>
      </c>
      <c r="F45" s="17" t="n">
        <f aca="false">IF(CostLines!$F21="One-time",IF(F$4=CostLines!$N21,CostLines!$J21,0),IF(AND(F$4&gt;=CostLines!$N21,IF(CostLines!$O21="",TRUE(),F$4&lt;CostLines!$N21+CostLines!$O21)),CostLines!$P21,0))</f>
        <v>0</v>
      </c>
      <c r="G45" s="17" t="n">
        <f aca="false">IF(CostLines!$F21="One-time",IF(G$4=CostLines!$N21,CostLines!$J21,0),IF(AND(G$4&gt;=CostLines!$N21,IF(CostLines!$O21="",TRUE(),G$4&lt;CostLines!$N21+CostLines!$O21)),CostLines!$P21,0))</f>
        <v>0</v>
      </c>
      <c r="H45" s="17" t="n">
        <f aca="false">IF(CostLines!$F21="One-time",IF(H$4=CostLines!$N21,CostLines!$J21,0),IF(AND(H$4&gt;=CostLines!$N21,IF(CostLines!$O21="",TRUE(),H$4&lt;CostLines!$N21+CostLines!$O21)),CostLines!$P21,0))</f>
        <v>0</v>
      </c>
      <c r="I45" s="17" t="n">
        <f aca="false">IF(CostLines!$F21="One-time",IF(I$4=CostLines!$N21,CostLines!$J21,0),IF(AND(I$4&gt;=CostLines!$N21,IF(CostLines!$O21="",TRUE(),I$4&lt;CostLines!$N21+CostLines!$O21)),CostLines!$P21,0))</f>
        <v>0</v>
      </c>
      <c r="J45" s="17" t="n">
        <f aca="false">IF(CostLines!$F21="One-time",IF(J$4=CostLines!$N21,CostLines!$J21,0),IF(AND(J$4&gt;=CostLines!$N21,IF(CostLines!$O21="",TRUE(),J$4&lt;CostLines!$N21+CostLines!$O21)),CostLines!$P21,0))</f>
        <v>0</v>
      </c>
      <c r="K45" s="17" t="n">
        <f aca="false">IF(CostLines!$F21="One-time",IF(K$4=CostLines!$N21,CostLines!$J21,0),IF(AND(K$4&gt;=CostLines!$N21,IF(CostLines!$O21="",TRUE(),K$4&lt;CostLines!$N21+CostLines!$O21)),CostLines!$P21,0))</f>
        <v>0</v>
      </c>
      <c r="L45" s="17" t="n">
        <f aca="false">IF(CostLines!$F21="One-time",IF(L$4=CostLines!$N21,CostLines!$J21,0),IF(AND(L$4&gt;=CostLines!$N21,IF(CostLines!$O21="",TRUE(),L$4&lt;CostLines!$N21+CostLines!$O21)),CostLines!$P21,0))</f>
        <v>15000</v>
      </c>
      <c r="M45" s="17" t="n">
        <f aca="false">IF(CostLines!$F21="One-time",IF(M$4=CostLines!$N21,CostLines!$J21,0),IF(AND(M$4&gt;=CostLines!$N21,IF(CostLines!$O21="",TRUE(),M$4&lt;CostLines!$N21+CostLines!$O21)),CostLines!$P21,0))</f>
        <v>15000</v>
      </c>
      <c r="N45" s="17" t="n">
        <f aca="false">IF(CostLines!$F21="One-time",IF(N$4=CostLines!$N21,CostLines!$J21,0),IF(AND(N$4&gt;=CostLines!$N21,IF(CostLines!$O21="",TRUE(),N$4&lt;CostLines!$N21+CostLines!$O21)),CostLines!$P21,0))</f>
        <v>15000</v>
      </c>
      <c r="O45" s="17" t="n">
        <f aca="false">IF(CostLines!$F21="One-time",IF(O$4=CostLines!$N21,CostLines!$J21,0),IF(AND(O$4&gt;=CostLines!$N21,IF(CostLines!$O21="",TRUE(),O$4&lt;CostLines!$N21+CostLines!$O21)),CostLines!$P21,0))</f>
        <v>15000</v>
      </c>
      <c r="P45" s="17" t="n">
        <f aca="false">IF(CostLines!$F21="One-time",IF(P$4=CostLines!$N21,CostLines!$J21,0),IF(AND(P$4&gt;=CostLines!$N21,IF(CostLines!$O21="",TRUE(),P$4&lt;CostLines!$N21+CostLines!$O21)),CostLines!$P21,0))</f>
        <v>15000</v>
      </c>
      <c r="Q45" s="17" t="n">
        <f aca="false">IF(CostLines!$F21="One-time",IF(Q$4=CostLines!$N21,CostLines!$J21,0),IF(AND(Q$4&gt;=CostLines!$N21,IF(CostLines!$O21="",TRUE(),Q$4&lt;CostLines!$N21+CostLines!$O21)),CostLines!$P21,0))</f>
        <v>15000</v>
      </c>
      <c r="R45" s="17" t="n">
        <f aca="false">IF(CostLines!$F21="One-time",IF(R$4=CostLines!$N21,CostLines!$J21,0),IF(AND(R$4&gt;=CostLines!$N21,IF(CostLines!$O21="",TRUE(),R$4&lt;CostLines!$N21+CostLines!$O21)),CostLines!$P21,0))</f>
        <v>15000</v>
      </c>
      <c r="S45" s="17" t="n">
        <f aca="false">IF(CostLines!$F21="One-time",IF(S$4=CostLines!$N21,CostLines!$J21,0),IF(AND(S$4&gt;=CostLines!$N21,IF(CostLines!$O21="",TRUE(),S$4&lt;CostLines!$N21+CostLines!$O21)),CostLines!$P21,0))</f>
        <v>15000</v>
      </c>
      <c r="T45" s="17" t="n">
        <f aca="false">IF(CostLines!$F21="One-time",IF(T$4=CostLines!$N21,CostLines!$J21,0),IF(AND(T$4&gt;=CostLines!$N21,IF(CostLines!$O21="",TRUE(),T$4&lt;CostLines!$N21+CostLines!$O21)),CostLines!$P21,0))</f>
        <v>15000</v>
      </c>
      <c r="U45" s="17" t="n">
        <f aca="false">IF(CostLines!$F21="One-time",IF(U$4=CostLines!$N21,CostLines!$J21,0),IF(AND(U$4&gt;=CostLines!$N21,IF(CostLines!$O21="",TRUE(),U$4&lt;CostLines!$N21+CostLines!$O21)),CostLines!$P21,0))</f>
        <v>15000</v>
      </c>
      <c r="V45" s="17" t="n">
        <f aca="false">IF(CostLines!$F21="One-time",IF(V$4=CostLines!$N21,CostLines!$J21,0),IF(AND(V$4&gt;=CostLines!$N21,IF(CostLines!$O21="",TRUE(),V$4&lt;CostLines!$N21+CostLines!$O21)),CostLines!$P21,0))</f>
        <v>15000</v>
      </c>
      <c r="W45" s="17" t="n">
        <f aca="false">IF(CostLines!$F21="One-time",IF(W$4=CostLines!$N21,CostLines!$J21,0),IF(AND(W$4&gt;=CostLines!$N21,IF(CostLines!$O21="",TRUE(),W$4&lt;CostLines!$N21+CostLines!$O21)),CostLines!$P21,0))</f>
        <v>15000</v>
      </c>
      <c r="X45" s="17" t="n">
        <f aca="false">IF(CostLines!$F21="One-time",IF(X$4=CostLines!$N21,CostLines!$J21,0),IF(AND(X$4&gt;=CostLines!$N21,IF(CostLines!$O21="",TRUE(),X$4&lt;CostLines!$N21+CostLines!$O21)),CostLines!$P21,0))</f>
        <v>15000</v>
      </c>
      <c r="Y45" s="17" t="n">
        <f aca="false">IF(CostLines!$F21="One-time",IF(Y$4=CostLines!$N21,CostLines!$J21,0),IF(AND(Y$4&gt;=CostLines!$N21,IF(CostLines!$O21="",TRUE(),Y$4&lt;CostLines!$N21+CostLines!$O21)),CostLines!$P21,0))</f>
        <v>15000</v>
      </c>
      <c r="Z45" s="17" t="n">
        <f aca="false">IF(CostLines!$F21="One-time",IF(Z$4=CostLines!$N21,CostLines!$J21,0),IF(AND(Z$4&gt;=CostLines!$N21,IF(CostLines!$O21="",TRUE(),Z$4&lt;CostLines!$N21+CostLines!$O21)),CostLines!$P21,0))</f>
        <v>15000</v>
      </c>
      <c r="AA45" s="17" t="n">
        <f aca="false">IF(CostLines!$F21="One-time",IF(AA$4=CostLines!$N21,CostLines!$J21,0),IF(AND(AA$4&gt;=CostLines!$N21,IF(CostLines!$O21="",TRUE(),AA$4&lt;CostLines!$N21+CostLines!$O21)),CostLines!$P21,0))</f>
        <v>15000</v>
      </c>
      <c r="AB45" s="17" t="n">
        <f aca="false">IF(CostLines!$F21="One-time",IF(AB$4=CostLines!$N21,CostLines!$J21,0),IF(AND(AB$4&gt;=CostLines!$N21,IF(CostLines!$O21="",TRUE(),AB$4&lt;CostLines!$N21+CostLines!$O21)),CostLines!$P21,0))</f>
        <v>15000</v>
      </c>
      <c r="AC45" s="17" t="n">
        <f aca="false">IF(CostLines!$F21="One-time",IF(AC$4=CostLines!$N21,CostLines!$J21,0),IF(AND(AC$4&gt;=CostLines!$N21,IF(CostLines!$O21="",TRUE(),AC$4&lt;CostLines!$N21+CostLines!$O21)),CostLines!$P21,0))</f>
        <v>15000</v>
      </c>
      <c r="AD45" s="17" t="n">
        <f aca="false">IF(CostLines!$F21="One-time",IF(AD$4=CostLines!$N21,CostLines!$J21,0),IF(AND(AD$4&gt;=CostLines!$N21,IF(CostLines!$O21="",TRUE(),AD$4&lt;CostLines!$N21+CostLines!$O21)),CostLines!$P21,0))</f>
        <v>15000</v>
      </c>
      <c r="AE45" s="17" t="n">
        <f aca="false">IF(CostLines!$F21="One-time",IF(AE$4=CostLines!$N21,CostLines!$J21,0),IF(AND(AE$4&gt;=CostLines!$N21,IF(CostLines!$O21="",TRUE(),AE$4&lt;CostLines!$N21+CostLines!$O21)),CostLines!$P21,0))</f>
        <v>15000</v>
      </c>
      <c r="AF45" s="17" t="n">
        <f aca="false">IF(CostLines!$F21="One-time",IF(AF$4=CostLines!$N21,CostLines!$J21,0),IF(AND(AF$4&gt;=CostLines!$N21,IF(CostLines!$O21="",TRUE(),AF$4&lt;CostLines!$N21+CostLines!$O21)),CostLines!$P21,0))</f>
        <v>15000</v>
      </c>
      <c r="AG45" s="17" t="n">
        <f aca="false">IF(CostLines!$F21="One-time",IF(AG$4=CostLines!$N21,CostLines!$J21,0),IF(AND(AG$4&gt;=CostLines!$N21,IF(CostLines!$O21="",TRUE(),AG$4&lt;CostLines!$N21+CostLines!$O21)),CostLines!$P21,0))</f>
        <v>15000</v>
      </c>
      <c r="AH45" s="17" t="n">
        <f aca="false">IF(CostLines!$F21="One-time",IF(AH$4=CostLines!$N21,CostLines!$J21,0),IF(AND(AH$4&gt;=CostLines!$N21,IF(CostLines!$O21="",TRUE(),AH$4&lt;CostLines!$N21+CostLines!$O21)),CostLines!$P21,0))</f>
        <v>15000</v>
      </c>
      <c r="AI45" s="17" t="n">
        <f aca="false">IF(CostLines!$F21="One-time",IF(AI$4=CostLines!$N21,CostLines!$J21,0),IF(AND(AI$4&gt;=CostLines!$N21,IF(CostLines!$O21="",TRUE(),AI$4&lt;CostLines!$N21+CostLines!$O21)),CostLines!$P21,0))</f>
        <v>15000</v>
      </c>
      <c r="AJ45" s="17" t="n">
        <f aca="false">IF(CostLines!$F21="One-time",IF(AJ$4=CostLines!$N21,CostLines!$J21,0),IF(AND(AJ$4&gt;=CostLines!$N21,IF(CostLines!$O21="",TRUE(),AJ$4&lt;CostLines!$N21+CostLines!$O21)),CostLines!$P21,0))</f>
        <v>15000</v>
      </c>
      <c r="AK45" s="17" t="n">
        <f aca="false">IF(CostLines!$F21="One-time",IF(AK$4=CostLines!$N21,CostLines!$J21,0),IF(AND(AK$4&gt;=CostLines!$N21,IF(CostLines!$O21="",TRUE(),AK$4&lt;CostLines!$N21+CostLines!$O21)),CostLines!$P21,0))</f>
        <v>15000</v>
      </c>
      <c r="AL45" s="17" t="n">
        <f aca="false">IF(CostLines!$F21="One-time",IF(AL$4=CostLines!$N21,CostLines!$J21,0),IF(AND(AL$4&gt;=CostLines!$N21,IF(CostLines!$O21="",TRUE(),AL$4&lt;CostLines!$N21+CostLines!$O21)),CostLines!$P21,0))</f>
        <v>15000</v>
      </c>
      <c r="AM45" s="17" t="n">
        <f aca="false">IF(CostLines!$F21="One-time",IF(AM$4=CostLines!$N21,CostLines!$J21,0),IF(AND(AM$4&gt;=CostLines!$N21,IF(CostLines!$O21="",TRUE(),AM$4&lt;CostLines!$N21+CostLines!$O21)),CostLines!$P21,0))</f>
        <v>15000</v>
      </c>
      <c r="AN45" s="17" t="n">
        <f aca="false">IF(CostLines!$F21="One-time",IF(AN$4=CostLines!$N21,CostLines!$J21,0),IF(AND(AN$4&gt;=CostLines!$N21,IF(CostLines!$O21="",TRUE(),AN$4&lt;CostLines!$N21+CostLines!$O21)),CostLines!$P21,0))</f>
        <v>15000</v>
      </c>
      <c r="AO45" s="17" t="n">
        <f aca="false">IF(CostLines!$F21="One-time",IF(AO$4=CostLines!$N21,CostLines!$J21,0),IF(AND(AO$4&gt;=CostLines!$N21,IF(CostLines!$O21="",TRUE(),AO$4&lt;CostLines!$N21+CostLines!$O21)),CostLines!$P21,0))</f>
        <v>15000</v>
      </c>
    </row>
    <row r="46" customFormat="false" ht="15" hidden="false" customHeight="false" outlineLevel="0" collapsed="false">
      <c r="A46" s="24" t="str">
        <f aca="false">CostLines!B22</f>
        <v>Audit, tax, Form 990 support (affiliates billed separately)</v>
      </c>
      <c r="B46" s="24" t="str">
        <f aca="false">CostLines!C22</f>
        <v>EnergyWave, Inc.</v>
      </c>
      <c r="C46" s="24" t="str">
        <f aca="false">CostLines!D22</f>
        <v>Finance</v>
      </c>
      <c r="D46" s="24" t="str">
        <f aca="false">CostLines!E22</f>
        <v>Audit &amp; tax</v>
      </c>
      <c r="E46" s="30" t="n">
        <f aca="false">SUM(F46:AO46)</f>
        <v>83333.3333333333</v>
      </c>
      <c r="F46" s="17" t="n">
        <f aca="false">IF(CostLines!$F22="One-time",IF(F$4=CostLines!$N22,CostLines!$J22,0),IF(AND(F$4&gt;=CostLines!$N22,IF(CostLines!$O22="",TRUE(),F$4&lt;CostLines!$N22+CostLines!$O22)),CostLines!$P22,0))</f>
        <v>0</v>
      </c>
      <c r="G46" s="17" t="n">
        <f aca="false">IF(CostLines!$F22="One-time",IF(G$4=CostLines!$N22,CostLines!$J22,0),IF(AND(G$4&gt;=CostLines!$N22,IF(CostLines!$O22="",TRUE(),G$4&lt;CostLines!$N22+CostLines!$O22)),CostLines!$P22,0))</f>
        <v>0</v>
      </c>
      <c r="H46" s="17" t="n">
        <f aca="false">IF(CostLines!$F22="One-time",IF(H$4=CostLines!$N22,CostLines!$J22,0),IF(AND(H$4&gt;=CostLines!$N22,IF(CostLines!$O22="",TRUE(),H$4&lt;CostLines!$N22+CostLines!$O22)),CostLines!$P22,0))</f>
        <v>0</v>
      </c>
      <c r="I46" s="17" t="n">
        <f aca="false">IF(CostLines!$F22="One-time",IF(I$4=CostLines!$N22,CostLines!$J22,0),IF(AND(I$4&gt;=CostLines!$N22,IF(CostLines!$O22="",TRUE(),I$4&lt;CostLines!$N22+CostLines!$O22)),CostLines!$P22,0))</f>
        <v>0</v>
      </c>
      <c r="J46" s="17" t="n">
        <f aca="false">IF(CostLines!$F22="One-time",IF(J$4=CostLines!$N22,CostLines!$J22,0),IF(AND(J$4&gt;=CostLines!$N22,IF(CostLines!$O22="",TRUE(),J$4&lt;CostLines!$N22+CostLines!$O22)),CostLines!$P22,0))</f>
        <v>0</v>
      </c>
      <c r="K46" s="17" t="n">
        <f aca="false">IF(CostLines!$F22="One-time",IF(K$4=CostLines!$N22,CostLines!$J22,0),IF(AND(K$4&gt;=CostLines!$N22,IF(CostLines!$O22="",TRUE(),K$4&lt;CostLines!$N22+CostLines!$O22)),CostLines!$P22,0))</f>
        <v>0</v>
      </c>
      <c r="L46" s="17" t="n">
        <f aca="false">IF(CostLines!$F22="One-time",IF(L$4=CostLines!$N22,CostLines!$J22,0),IF(AND(L$4&gt;=CostLines!$N22,IF(CostLines!$O22="",TRUE(),L$4&lt;CostLines!$N22+CostLines!$O22)),CostLines!$P22,0))</f>
        <v>0</v>
      </c>
      <c r="M46" s="17" t="n">
        <f aca="false">IF(CostLines!$F22="One-time",IF(M$4=CostLines!$N22,CostLines!$J22,0),IF(AND(M$4&gt;=CostLines!$N22,IF(CostLines!$O22="",TRUE(),M$4&lt;CostLines!$N22+CostLines!$O22)),CostLines!$P22,0))</f>
        <v>0</v>
      </c>
      <c r="N46" s="17" t="n">
        <f aca="false">IF(CostLines!$F22="One-time",IF(N$4=CostLines!$N22,CostLines!$J22,0),IF(AND(N$4&gt;=CostLines!$N22,IF(CostLines!$O22="",TRUE(),N$4&lt;CostLines!$N22+CostLines!$O22)),CostLines!$P22,0))</f>
        <v>0</v>
      </c>
      <c r="O46" s="17" t="n">
        <f aca="false">IF(CostLines!$F22="One-time",IF(O$4=CostLines!$N22,CostLines!$J22,0),IF(AND(O$4&gt;=CostLines!$N22,IF(CostLines!$O22="",TRUE(),O$4&lt;CostLines!$N22+CostLines!$O22)),CostLines!$P22,0))</f>
        <v>0</v>
      </c>
      <c r="P46" s="17" t="n">
        <f aca="false">IF(CostLines!$F22="One-time",IF(P$4=CostLines!$N22,CostLines!$J22,0),IF(AND(P$4&gt;=CostLines!$N22,IF(CostLines!$O22="",TRUE(),P$4&lt;CostLines!$N22+CostLines!$O22)),CostLines!$P22,0))</f>
        <v>0</v>
      </c>
      <c r="Q46" s="17" t="n">
        <f aca="false">IF(CostLines!$F22="One-time",IF(Q$4=CostLines!$N22,CostLines!$J22,0),IF(AND(Q$4&gt;=CostLines!$N22,IF(CostLines!$O22="",TRUE(),Q$4&lt;CostLines!$N22+CostLines!$O22)),CostLines!$P22,0))</f>
        <v>3333.33333333333</v>
      </c>
      <c r="R46" s="17" t="n">
        <f aca="false">IF(CostLines!$F22="One-time",IF(R$4=CostLines!$N22,CostLines!$J22,0),IF(AND(R$4&gt;=CostLines!$N22,IF(CostLines!$O22="",TRUE(),R$4&lt;CostLines!$N22+CostLines!$O22)),CostLines!$P22,0))</f>
        <v>3333.33333333333</v>
      </c>
      <c r="S46" s="17" t="n">
        <f aca="false">IF(CostLines!$F22="One-time",IF(S$4=CostLines!$N22,CostLines!$J22,0),IF(AND(S$4&gt;=CostLines!$N22,IF(CostLines!$O22="",TRUE(),S$4&lt;CostLines!$N22+CostLines!$O22)),CostLines!$P22,0))</f>
        <v>3333.33333333333</v>
      </c>
      <c r="T46" s="17" t="n">
        <f aca="false">IF(CostLines!$F22="One-time",IF(T$4=CostLines!$N22,CostLines!$J22,0),IF(AND(T$4&gt;=CostLines!$N22,IF(CostLines!$O22="",TRUE(),T$4&lt;CostLines!$N22+CostLines!$O22)),CostLines!$P22,0))</f>
        <v>3333.33333333333</v>
      </c>
      <c r="U46" s="17" t="n">
        <f aca="false">IF(CostLines!$F22="One-time",IF(U$4=CostLines!$N22,CostLines!$J22,0),IF(AND(U$4&gt;=CostLines!$N22,IF(CostLines!$O22="",TRUE(),U$4&lt;CostLines!$N22+CostLines!$O22)),CostLines!$P22,0))</f>
        <v>3333.33333333333</v>
      </c>
      <c r="V46" s="17" t="n">
        <f aca="false">IF(CostLines!$F22="One-time",IF(V$4=CostLines!$N22,CostLines!$J22,0),IF(AND(V$4&gt;=CostLines!$N22,IF(CostLines!$O22="",TRUE(),V$4&lt;CostLines!$N22+CostLines!$O22)),CostLines!$P22,0))</f>
        <v>3333.33333333333</v>
      </c>
      <c r="W46" s="17" t="n">
        <f aca="false">IF(CostLines!$F22="One-time",IF(W$4=CostLines!$N22,CostLines!$J22,0),IF(AND(W$4&gt;=CostLines!$N22,IF(CostLines!$O22="",TRUE(),W$4&lt;CostLines!$N22+CostLines!$O22)),CostLines!$P22,0))</f>
        <v>3333.33333333333</v>
      </c>
      <c r="X46" s="17" t="n">
        <f aca="false">IF(CostLines!$F22="One-time",IF(X$4=CostLines!$N22,CostLines!$J22,0),IF(AND(X$4&gt;=CostLines!$N22,IF(CostLines!$O22="",TRUE(),X$4&lt;CostLines!$N22+CostLines!$O22)),CostLines!$P22,0))</f>
        <v>3333.33333333333</v>
      </c>
      <c r="Y46" s="17" t="n">
        <f aca="false">IF(CostLines!$F22="One-time",IF(Y$4=CostLines!$N22,CostLines!$J22,0),IF(AND(Y$4&gt;=CostLines!$N22,IF(CostLines!$O22="",TRUE(),Y$4&lt;CostLines!$N22+CostLines!$O22)),CostLines!$P22,0))</f>
        <v>3333.33333333333</v>
      </c>
      <c r="Z46" s="17" t="n">
        <f aca="false">IF(CostLines!$F22="One-time",IF(Z$4=CostLines!$N22,CostLines!$J22,0),IF(AND(Z$4&gt;=CostLines!$N22,IF(CostLines!$O22="",TRUE(),Z$4&lt;CostLines!$N22+CostLines!$O22)),CostLines!$P22,0))</f>
        <v>3333.33333333333</v>
      </c>
      <c r="AA46" s="17" t="n">
        <f aca="false">IF(CostLines!$F22="One-time",IF(AA$4=CostLines!$N22,CostLines!$J22,0),IF(AND(AA$4&gt;=CostLines!$N22,IF(CostLines!$O22="",TRUE(),AA$4&lt;CostLines!$N22+CostLines!$O22)),CostLines!$P22,0))</f>
        <v>3333.33333333333</v>
      </c>
      <c r="AB46" s="17" t="n">
        <f aca="false">IF(CostLines!$F22="One-time",IF(AB$4=CostLines!$N22,CostLines!$J22,0),IF(AND(AB$4&gt;=CostLines!$N22,IF(CostLines!$O22="",TRUE(),AB$4&lt;CostLines!$N22+CostLines!$O22)),CostLines!$P22,0))</f>
        <v>3333.33333333333</v>
      </c>
      <c r="AC46" s="17" t="n">
        <f aca="false">IF(CostLines!$F22="One-time",IF(AC$4=CostLines!$N22,CostLines!$J22,0),IF(AND(AC$4&gt;=CostLines!$N22,IF(CostLines!$O22="",TRUE(),AC$4&lt;CostLines!$N22+CostLines!$O22)),CostLines!$P22,0))</f>
        <v>3333.33333333333</v>
      </c>
      <c r="AD46" s="17" t="n">
        <f aca="false">IF(CostLines!$F22="One-time",IF(AD$4=CostLines!$N22,CostLines!$J22,0),IF(AND(AD$4&gt;=CostLines!$N22,IF(CostLines!$O22="",TRUE(),AD$4&lt;CostLines!$N22+CostLines!$O22)),CostLines!$P22,0))</f>
        <v>3333.33333333333</v>
      </c>
      <c r="AE46" s="17" t="n">
        <f aca="false">IF(CostLines!$F22="One-time",IF(AE$4=CostLines!$N22,CostLines!$J22,0),IF(AND(AE$4&gt;=CostLines!$N22,IF(CostLines!$O22="",TRUE(),AE$4&lt;CostLines!$N22+CostLines!$O22)),CostLines!$P22,0))</f>
        <v>3333.33333333333</v>
      </c>
      <c r="AF46" s="17" t="n">
        <f aca="false">IF(CostLines!$F22="One-time",IF(AF$4=CostLines!$N22,CostLines!$J22,0),IF(AND(AF$4&gt;=CostLines!$N22,IF(CostLines!$O22="",TRUE(),AF$4&lt;CostLines!$N22+CostLines!$O22)),CostLines!$P22,0))</f>
        <v>3333.33333333333</v>
      </c>
      <c r="AG46" s="17" t="n">
        <f aca="false">IF(CostLines!$F22="One-time",IF(AG$4=CostLines!$N22,CostLines!$J22,0),IF(AND(AG$4&gt;=CostLines!$N22,IF(CostLines!$O22="",TRUE(),AG$4&lt;CostLines!$N22+CostLines!$O22)),CostLines!$P22,0))</f>
        <v>3333.33333333333</v>
      </c>
      <c r="AH46" s="17" t="n">
        <f aca="false">IF(CostLines!$F22="One-time",IF(AH$4=CostLines!$N22,CostLines!$J22,0),IF(AND(AH$4&gt;=CostLines!$N22,IF(CostLines!$O22="",TRUE(),AH$4&lt;CostLines!$N22+CostLines!$O22)),CostLines!$P22,0))</f>
        <v>3333.33333333333</v>
      </c>
      <c r="AI46" s="17" t="n">
        <f aca="false">IF(CostLines!$F22="One-time",IF(AI$4=CostLines!$N22,CostLines!$J22,0),IF(AND(AI$4&gt;=CostLines!$N22,IF(CostLines!$O22="",TRUE(),AI$4&lt;CostLines!$N22+CostLines!$O22)),CostLines!$P22,0))</f>
        <v>3333.33333333333</v>
      </c>
      <c r="AJ46" s="17" t="n">
        <f aca="false">IF(CostLines!$F22="One-time",IF(AJ$4=CostLines!$N22,CostLines!$J22,0),IF(AND(AJ$4&gt;=CostLines!$N22,IF(CostLines!$O22="",TRUE(),AJ$4&lt;CostLines!$N22+CostLines!$O22)),CostLines!$P22,0))</f>
        <v>3333.33333333333</v>
      </c>
      <c r="AK46" s="17" t="n">
        <f aca="false">IF(CostLines!$F22="One-time",IF(AK$4=CostLines!$N22,CostLines!$J22,0),IF(AND(AK$4&gt;=CostLines!$N22,IF(CostLines!$O22="",TRUE(),AK$4&lt;CostLines!$N22+CostLines!$O22)),CostLines!$P22,0))</f>
        <v>3333.33333333333</v>
      </c>
      <c r="AL46" s="17" t="n">
        <f aca="false">IF(CostLines!$F22="One-time",IF(AL$4=CostLines!$N22,CostLines!$J22,0),IF(AND(AL$4&gt;=CostLines!$N22,IF(CostLines!$O22="",TRUE(),AL$4&lt;CostLines!$N22+CostLines!$O22)),CostLines!$P22,0))</f>
        <v>3333.33333333333</v>
      </c>
      <c r="AM46" s="17" t="n">
        <f aca="false">IF(CostLines!$F22="One-time",IF(AM$4=CostLines!$N22,CostLines!$J22,0),IF(AND(AM$4&gt;=CostLines!$N22,IF(CostLines!$O22="",TRUE(),AM$4&lt;CostLines!$N22+CostLines!$O22)),CostLines!$P22,0))</f>
        <v>3333.33333333333</v>
      </c>
      <c r="AN46" s="17" t="n">
        <f aca="false">IF(CostLines!$F22="One-time",IF(AN$4=CostLines!$N22,CostLines!$J22,0),IF(AND(AN$4&gt;=CostLines!$N22,IF(CostLines!$O22="",TRUE(),AN$4&lt;CostLines!$N22+CostLines!$O22)),CostLines!$P22,0))</f>
        <v>3333.33333333333</v>
      </c>
      <c r="AO46" s="17" t="n">
        <f aca="false">IF(CostLines!$F22="One-time",IF(AO$4=CostLines!$N22,CostLines!$J22,0),IF(AND(AO$4&gt;=CostLines!$N22,IF(CostLines!$O22="",TRUE(),AO$4&lt;CostLines!$N22+CostLines!$O22)),CostLines!$P22,0))</f>
        <v>3333.33333333333</v>
      </c>
    </row>
    <row r="47" customFormat="false" ht="15" hidden="false" customHeight="false" outlineLevel="0" collapsed="false">
      <c r="A47" s="24" t="str">
        <f aca="false">CostLines!B23</f>
        <v>Accounting / HR / cap-table systems (QuickBooks or NetSuite, payroll, Carta)</v>
      </c>
      <c r="B47" s="24" t="str">
        <f aca="false">CostLines!C23</f>
        <v>EnergyWave, Inc.</v>
      </c>
      <c r="C47" s="24" t="str">
        <f aca="false">CostLines!D23</f>
        <v>Finance</v>
      </c>
      <c r="D47" s="24" t="str">
        <f aca="false">CostLines!E23</f>
        <v>Systems</v>
      </c>
      <c r="E47" s="30" t="n">
        <f aca="false">SUM(F47:AO47)</f>
        <v>54000</v>
      </c>
      <c r="F47" s="17" t="n">
        <f aca="false">IF(CostLines!$F23="One-time",IF(F$4=CostLines!$N23,CostLines!$J23,0),IF(AND(F$4&gt;=CostLines!$N23,IF(CostLines!$O23="",TRUE(),F$4&lt;CostLines!$N23+CostLines!$O23)),CostLines!$P23,0))</f>
        <v>1500</v>
      </c>
      <c r="G47" s="17" t="n">
        <f aca="false">IF(CostLines!$F23="One-time",IF(G$4=CostLines!$N23,CostLines!$J23,0),IF(AND(G$4&gt;=CostLines!$N23,IF(CostLines!$O23="",TRUE(),G$4&lt;CostLines!$N23+CostLines!$O23)),CostLines!$P23,0))</f>
        <v>1500</v>
      </c>
      <c r="H47" s="17" t="n">
        <f aca="false">IF(CostLines!$F23="One-time",IF(H$4=CostLines!$N23,CostLines!$J23,0),IF(AND(H$4&gt;=CostLines!$N23,IF(CostLines!$O23="",TRUE(),H$4&lt;CostLines!$N23+CostLines!$O23)),CostLines!$P23,0))</f>
        <v>1500</v>
      </c>
      <c r="I47" s="17" t="n">
        <f aca="false">IF(CostLines!$F23="One-time",IF(I$4=CostLines!$N23,CostLines!$J23,0),IF(AND(I$4&gt;=CostLines!$N23,IF(CostLines!$O23="",TRUE(),I$4&lt;CostLines!$N23+CostLines!$O23)),CostLines!$P23,0))</f>
        <v>1500</v>
      </c>
      <c r="J47" s="17" t="n">
        <f aca="false">IF(CostLines!$F23="One-time",IF(J$4=CostLines!$N23,CostLines!$J23,0),IF(AND(J$4&gt;=CostLines!$N23,IF(CostLines!$O23="",TRUE(),J$4&lt;CostLines!$N23+CostLines!$O23)),CostLines!$P23,0))</f>
        <v>1500</v>
      </c>
      <c r="K47" s="17" t="n">
        <f aca="false">IF(CostLines!$F23="One-time",IF(K$4=CostLines!$N23,CostLines!$J23,0),IF(AND(K$4&gt;=CostLines!$N23,IF(CostLines!$O23="",TRUE(),K$4&lt;CostLines!$N23+CostLines!$O23)),CostLines!$P23,0))</f>
        <v>1500</v>
      </c>
      <c r="L47" s="17" t="n">
        <f aca="false">IF(CostLines!$F23="One-time",IF(L$4=CostLines!$N23,CostLines!$J23,0),IF(AND(L$4&gt;=CostLines!$N23,IF(CostLines!$O23="",TRUE(),L$4&lt;CostLines!$N23+CostLines!$O23)),CostLines!$P23,0))</f>
        <v>1500</v>
      </c>
      <c r="M47" s="17" t="n">
        <f aca="false">IF(CostLines!$F23="One-time",IF(M$4=CostLines!$N23,CostLines!$J23,0),IF(AND(M$4&gt;=CostLines!$N23,IF(CostLines!$O23="",TRUE(),M$4&lt;CostLines!$N23+CostLines!$O23)),CostLines!$P23,0))</f>
        <v>1500</v>
      </c>
      <c r="N47" s="17" t="n">
        <f aca="false">IF(CostLines!$F23="One-time",IF(N$4=CostLines!$N23,CostLines!$J23,0),IF(AND(N$4&gt;=CostLines!$N23,IF(CostLines!$O23="",TRUE(),N$4&lt;CostLines!$N23+CostLines!$O23)),CostLines!$P23,0))</f>
        <v>1500</v>
      </c>
      <c r="O47" s="17" t="n">
        <f aca="false">IF(CostLines!$F23="One-time",IF(O$4=CostLines!$N23,CostLines!$J23,0),IF(AND(O$4&gt;=CostLines!$N23,IF(CostLines!$O23="",TRUE(),O$4&lt;CostLines!$N23+CostLines!$O23)),CostLines!$P23,0))</f>
        <v>1500</v>
      </c>
      <c r="P47" s="17" t="n">
        <f aca="false">IF(CostLines!$F23="One-time",IF(P$4=CostLines!$N23,CostLines!$J23,0),IF(AND(P$4&gt;=CostLines!$N23,IF(CostLines!$O23="",TRUE(),P$4&lt;CostLines!$N23+CostLines!$O23)),CostLines!$P23,0))</f>
        <v>1500</v>
      </c>
      <c r="Q47" s="17" t="n">
        <f aca="false">IF(CostLines!$F23="One-time",IF(Q$4=CostLines!$N23,CostLines!$J23,0),IF(AND(Q$4&gt;=CostLines!$N23,IF(CostLines!$O23="",TRUE(),Q$4&lt;CostLines!$N23+CostLines!$O23)),CostLines!$P23,0))</f>
        <v>1500</v>
      </c>
      <c r="R47" s="17" t="n">
        <f aca="false">IF(CostLines!$F23="One-time",IF(R$4=CostLines!$N23,CostLines!$J23,0),IF(AND(R$4&gt;=CostLines!$N23,IF(CostLines!$O23="",TRUE(),R$4&lt;CostLines!$N23+CostLines!$O23)),CostLines!$P23,0))</f>
        <v>1500</v>
      </c>
      <c r="S47" s="17" t="n">
        <f aca="false">IF(CostLines!$F23="One-time",IF(S$4=CostLines!$N23,CostLines!$J23,0),IF(AND(S$4&gt;=CostLines!$N23,IF(CostLines!$O23="",TRUE(),S$4&lt;CostLines!$N23+CostLines!$O23)),CostLines!$P23,0))</f>
        <v>1500</v>
      </c>
      <c r="T47" s="17" t="n">
        <f aca="false">IF(CostLines!$F23="One-time",IF(T$4=CostLines!$N23,CostLines!$J23,0),IF(AND(T$4&gt;=CostLines!$N23,IF(CostLines!$O23="",TRUE(),T$4&lt;CostLines!$N23+CostLines!$O23)),CostLines!$P23,0))</f>
        <v>1500</v>
      </c>
      <c r="U47" s="17" t="n">
        <f aca="false">IF(CostLines!$F23="One-time",IF(U$4=CostLines!$N23,CostLines!$J23,0),IF(AND(U$4&gt;=CostLines!$N23,IF(CostLines!$O23="",TRUE(),U$4&lt;CostLines!$N23+CostLines!$O23)),CostLines!$P23,0))</f>
        <v>1500</v>
      </c>
      <c r="V47" s="17" t="n">
        <f aca="false">IF(CostLines!$F23="One-time",IF(V$4=CostLines!$N23,CostLines!$J23,0),IF(AND(V$4&gt;=CostLines!$N23,IF(CostLines!$O23="",TRUE(),V$4&lt;CostLines!$N23+CostLines!$O23)),CostLines!$P23,0))</f>
        <v>1500</v>
      </c>
      <c r="W47" s="17" t="n">
        <f aca="false">IF(CostLines!$F23="One-time",IF(W$4=CostLines!$N23,CostLines!$J23,0),IF(AND(W$4&gt;=CostLines!$N23,IF(CostLines!$O23="",TRUE(),W$4&lt;CostLines!$N23+CostLines!$O23)),CostLines!$P23,0))</f>
        <v>1500</v>
      </c>
      <c r="X47" s="17" t="n">
        <f aca="false">IF(CostLines!$F23="One-time",IF(X$4=CostLines!$N23,CostLines!$J23,0),IF(AND(X$4&gt;=CostLines!$N23,IF(CostLines!$O23="",TRUE(),X$4&lt;CostLines!$N23+CostLines!$O23)),CostLines!$P23,0))</f>
        <v>1500</v>
      </c>
      <c r="Y47" s="17" t="n">
        <f aca="false">IF(CostLines!$F23="One-time",IF(Y$4=CostLines!$N23,CostLines!$J23,0),IF(AND(Y$4&gt;=CostLines!$N23,IF(CostLines!$O23="",TRUE(),Y$4&lt;CostLines!$N23+CostLines!$O23)),CostLines!$P23,0))</f>
        <v>1500</v>
      </c>
      <c r="Z47" s="17" t="n">
        <f aca="false">IF(CostLines!$F23="One-time",IF(Z$4=CostLines!$N23,CostLines!$J23,0),IF(AND(Z$4&gt;=CostLines!$N23,IF(CostLines!$O23="",TRUE(),Z$4&lt;CostLines!$N23+CostLines!$O23)),CostLines!$P23,0))</f>
        <v>1500</v>
      </c>
      <c r="AA47" s="17" t="n">
        <f aca="false">IF(CostLines!$F23="One-time",IF(AA$4=CostLines!$N23,CostLines!$J23,0),IF(AND(AA$4&gt;=CostLines!$N23,IF(CostLines!$O23="",TRUE(),AA$4&lt;CostLines!$N23+CostLines!$O23)),CostLines!$P23,0))</f>
        <v>1500</v>
      </c>
      <c r="AB47" s="17" t="n">
        <f aca="false">IF(CostLines!$F23="One-time",IF(AB$4=CostLines!$N23,CostLines!$J23,0),IF(AND(AB$4&gt;=CostLines!$N23,IF(CostLines!$O23="",TRUE(),AB$4&lt;CostLines!$N23+CostLines!$O23)),CostLines!$P23,0))</f>
        <v>1500</v>
      </c>
      <c r="AC47" s="17" t="n">
        <f aca="false">IF(CostLines!$F23="One-time",IF(AC$4=CostLines!$N23,CostLines!$J23,0),IF(AND(AC$4&gt;=CostLines!$N23,IF(CostLines!$O23="",TRUE(),AC$4&lt;CostLines!$N23+CostLines!$O23)),CostLines!$P23,0))</f>
        <v>1500</v>
      </c>
      <c r="AD47" s="17" t="n">
        <f aca="false">IF(CostLines!$F23="One-time",IF(AD$4=CostLines!$N23,CostLines!$J23,0),IF(AND(AD$4&gt;=CostLines!$N23,IF(CostLines!$O23="",TRUE(),AD$4&lt;CostLines!$N23+CostLines!$O23)),CostLines!$P23,0))</f>
        <v>1500</v>
      </c>
      <c r="AE47" s="17" t="n">
        <f aca="false">IF(CostLines!$F23="One-time",IF(AE$4=CostLines!$N23,CostLines!$J23,0),IF(AND(AE$4&gt;=CostLines!$N23,IF(CostLines!$O23="",TRUE(),AE$4&lt;CostLines!$N23+CostLines!$O23)),CostLines!$P23,0))</f>
        <v>1500</v>
      </c>
      <c r="AF47" s="17" t="n">
        <f aca="false">IF(CostLines!$F23="One-time",IF(AF$4=CostLines!$N23,CostLines!$J23,0),IF(AND(AF$4&gt;=CostLines!$N23,IF(CostLines!$O23="",TRUE(),AF$4&lt;CostLines!$N23+CostLines!$O23)),CostLines!$P23,0))</f>
        <v>1500</v>
      </c>
      <c r="AG47" s="17" t="n">
        <f aca="false">IF(CostLines!$F23="One-time",IF(AG$4=CostLines!$N23,CostLines!$J23,0),IF(AND(AG$4&gt;=CostLines!$N23,IF(CostLines!$O23="",TRUE(),AG$4&lt;CostLines!$N23+CostLines!$O23)),CostLines!$P23,0))</f>
        <v>1500</v>
      </c>
      <c r="AH47" s="17" t="n">
        <f aca="false">IF(CostLines!$F23="One-time",IF(AH$4=CostLines!$N23,CostLines!$J23,0),IF(AND(AH$4&gt;=CostLines!$N23,IF(CostLines!$O23="",TRUE(),AH$4&lt;CostLines!$N23+CostLines!$O23)),CostLines!$P23,0))</f>
        <v>1500</v>
      </c>
      <c r="AI47" s="17" t="n">
        <f aca="false">IF(CostLines!$F23="One-time",IF(AI$4=CostLines!$N23,CostLines!$J23,0),IF(AND(AI$4&gt;=CostLines!$N23,IF(CostLines!$O23="",TRUE(),AI$4&lt;CostLines!$N23+CostLines!$O23)),CostLines!$P23,0))</f>
        <v>1500</v>
      </c>
      <c r="AJ47" s="17" t="n">
        <f aca="false">IF(CostLines!$F23="One-time",IF(AJ$4=CostLines!$N23,CostLines!$J23,0),IF(AND(AJ$4&gt;=CostLines!$N23,IF(CostLines!$O23="",TRUE(),AJ$4&lt;CostLines!$N23+CostLines!$O23)),CostLines!$P23,0))</f>
        <v>1500</v>
      </c>
      <c r="AK47" s="17" t="n">
        <f aca="false">IF(CostLines!$F23="One-time",IF(AK$4=CostLines!$N23,CostLines!$J23,0),IF(AND(AK$4&gt;=CostLines!$N23,IF(CostLines!$O23="",TRUE(),AK$4&lt;CostLines!$N23+CostLines!$O23)),CostLines!$P23,0))</f>
        <v>1500</v>
      </c>
      <c r="AL47" s="17" t="n">
        <f aca="false">IF(CostLines!$F23="One-time",IF(AL$4=CostLines!$N23,CostLines!$J23,0),IF(AND(AL$4&gt;=CostLines!$N23,IF(CostLines!$O23="",TRUE(),AL$4&lt;CostLines!$N23+CostLines!$O23)),CostLines!$P23,0))</f>
        <v>1500</v>
      </c>
      <c r="AM47" s="17" t="n">
        <f aca="false">IF(CostLines!$F23="One-time",IF(AM$4=CostLines!$N23,CostLines!$J23,0),IF(AND(AM$4&gt;=CostLines!$N23,IF(CostLines!$O23="",TRUE(),AM$4&lt;CostLines!$N23+CostLines!$O23)),CostLines!$P23,0))</f>
        <v>1500</v>
      </c>
      <c r="AN47" s="17" t="n">
        <f aca="false">IF(CostLines!$F23="One-time",IF(AN$4=CostLines!$N23,CostLines!$J23,0),IF(AND(AN$4&gt;=CostLines!$N23,IF(CostLines!$O23="",TRUE(),AN$4&lt;CostLines!$N23+CostLines!$O23)),CostLines!$P23,0))</f>
        <v>1500</v>
      </c>
      <c r="AO47" s="17" t="n">
        <f aca="false">IF(CostLines!$F23="One-time",IF(AO$4=CostLines!$N23,CostLines!$J23,0),IF(AND(AO$4&gt;=CostLines!$N23,IF(CostLines!$O23="",TRUE(),AO$4&lt;CostLines!$N23+CostLines!$O23)),CostLines!$P23,0))</f>
        <v>1500</v>
      </c>
    </row>
    <row r="48" customFormat="false" ht="15" hidden="false" customHeight="false" outlineLevel="0" collapsed="false">
      <c r="A48" s="24" t="str">
        <f aca="false">CostLines!B24</f>
        <v>Insurance (D&amp;O, GL, property, testing liability, workers' comp)</v>
      </c>
      <c r="B48" s="24" t="str">
        <f aca="false">CostLines!C24</f>
        <v>EnergyWave, Inc.</v>
      </c>
      <c r="C48" s="24" t="str">
        <f aca="false">CostLines!D24</f>
        <v>G&amp;A</v>
      </c>
      <c r="D48" s="24" t="str">
        <f aca="false">CostLines!E24</f>
        <v>Insurance</v>
      </c>
      <c r="E48" s="30" t="n">
        <f aca="false">SUM(F48:AO48)</f>
        <v>270000</v>
      </c>
      <c r="F48" s="17" t="n">
        <f aca="false">IF(CostLines!$F24="One-time",IF(F$4=CostLines!$N24,CostLines!$J24,0),IF(AND(F$4&gt;=CostLines!$N24,IF(CostLines!$O24="",TRUE(),F$4&lt;CostLines!$N24+CostLines!$O24)),CostLines!$P24,0))</f>
        <v>7500</v>
      </c>
      <c r="G48" s="17" t="n">
        <f aca="false">IF(CostLines!$F24="One-time",IF(G$4=CostLines!$N24,CostLines!$J24,0),IF(AND(G$4&gt;=CostLines!$N24,IF(CostLines!$O24="",TRUE(),G$4&lt;CostLines!$N24+CostLines!$O24)),CostLines!$P24,0))</f>
        <v>7500</v>
      </c>
      <c r="H48" s="17" t="n">
        <f aca="false">IF(CostLines!$F24="One-time",IF(H$4=CostLines!$N24,CostLines!$J24,0),IF(AND(H$4&gt;=CostLines!$N24,IF(CostLines!$O24="",TRUE(),H$4&lt;CostLines!$N24+CostLines!$O24)),CostLines!$P24,0))</f>
        <v>7500</v>
      </c>
      <c r="I48" s="17" t="n">
        <f aca="false">IF(CostLines!$F24="One-time",IF(I$4=CostLines!$N24,CostLines!$J24,0),IF(AND(I$4&gt;=CostLines!$N24,IF(CostLines!$O24="",TRUE(),I$4&lt;CostLines!$N24+CostLines!$O24)),CostLines!$P24,0))</f>
        <v>7500</v>
      </c>
      <c r="J48" s="17" t="n">
        <f aca="false">IF(CostLines!$F24="One-time",IF(J$4=CostLines!$N24,CostLines!$J24,0),IF(AND(J$4&gt;=CostLines!$N24,IF(CostLines!$O24="",TRUE(),J$4&lt;CostLines!$N24+CostLines!$O24)),CostLines!$P24,0))</f>
        <v>7500</v>
      </c>
      <c r="K48" s="17" t="n">
        <f aca="false">IF(CostLines!$F24="One-time",IF(K$4=CostLines!$N24,CostLines!$J24,0),IF(AND(K$4&gt;=CostLines!$N24,IF(CostLines!$O24="",TRUE(),K$4&lt;CostLines!$N24+CostLines!$O24)),CostLines!$P24,0))</f>
        <v>7500</v>
      </c>
      <c r="L48" s="17" t="n">
        <f aca="false">IF(CostLines!$F24="One-time",IF(L$4=CostLines!$N24,CostLines!$J24,0),IF(AND(L$4&gt;=CostLines!$N24,IF(CostLines!$O24="",TRUE(),L$4&lt;CostLines!$N24+CostLines!$O24)),CostLines!$P24,0))</f>
        <v>7500</v>
      </c>
      <c r="M48" s="17" t="n">
        <f aca="false">IF(CostLines!$F24="One-time",IF(M$4=CostLines!$N24,CostLines!$J24,0),IF(AND(M$4&gt;=CostLines!$N24,IF(CostLines!$O24="",TRUE(),M$4&lt;CostLines!$N24+CostLines!$O24)),CostLines!$P24,0))</f>
        <v>7500</v>
      </c>
      <c r="N48" s="17" t="n">
        <f aca="false">IF(CostLines!$F24="One-time",IF(N$4=CostLines!$N24,CostLines!$J24,0),IF(AND(N$4&gt;=CostLines!$N24,IF(CostLines!$O24="",TRUE(),N$4&lt;CostLines!$N24+CostLines!$O24)),CostLines!$P24,0))</f>
        <v>7500</v>
      </c>
      <c r="O48" s="17" t="n">
        <f aca="false">IF(CostLines!$F24="One-time",IF(O$4=CostLines!$N24,CostLines!$J24,0),IF(AND(O$4&gt;=CostLines!$N24,IF(CostLines!$O24="",TRUE(),O$4&lt;CostLines!$N24+CostLines!$O24)),CostLines!$P24,0))</f>
        <v>7500</v>
      </c>
      <c r="P48" s="17" t="n">
        <f aca="false">IF(CostLines!$F24="One-time",IF(P$4=CostLines!$N24,CostLines!$J24,0),IF(AND(P$4&gt;=CostLines!$N24,IF(CostLines!$O24="",TRUE(),P$4&lt;CostLines!$N24+CostLines!$O24)),CostLines!$P24,0))</f>
        <v>7500</v>
      </c>
      <c r="Q48" s="17" t="n">
        <f aca="false">IF(CostLines!$F24="One-time",IF(Q$4=CostLines!$N24,CostLines!$J24,0),IF(AND(Q$4&gt;=CostLines!$N24,IF(CostLines!$O24="",TRUE(),Q$4&lt;CostLines!$N24+CostLines!$O24)),CostLines!$P24,0))</f>
        <v>7500</v>
      </c>
      <c r="R48" s="17" t="n">
        <f aca="false">IF(CostLines!$F24="One-time",IF(R$4=CostLines!$N24,CostLines!$J24,0),IF(AND(R$4&gt;=CostLines!$N24,IF(CostLines!$O24="",TRUE(),R$4&lt;CostLines!$N24+CostLines!$O24)),CostLines!$P24,0))</f>
        <v>7500</v>
      </c>
      <c r="S48" s="17" t="n">
        <f aca="false">IF(CostLines!$F24="One-time",IF(S$4=CostLines!$N24,CostLines!$J24,0),IF(AND(S$4&gt;=CostLines!$N24,IF(CostLines!$O24="",TRUE(),S$4&lt;CostLines!$N24+CostLines!$O24)),CostLines!$P24,0))</f>
        <v>7500</v>
      </c>
      <c r="T48" s="17" t="n">
        <f aca="false">IF(CostLines!$F24="One-time",IF(T$4=CostLines!$N24,CostLines!$J24,0),IF(AND(T$4&gt;=CostLines!$N24,IF(CostLines!$O24="",TRUE(),T$4&lt;CostLines!$N24+CostLines!$O24)),CostLines!$P24,0))</f>
        <v>7500</v>
      </c>
      <c r="U48" s="17" t="n">
        <f aca="false">IF(CostLines!$F24="One-time",IF(U$4=CostLines!$N24,CostLines!$J24,0),IF(AND(U$4&gt;=CostLines!$N24,IF(CostLines!$O24="",TRUE(),U$4&lt;CostLines!$N24+CostLines!$O24)),CostLines!$P24,0))</f>
        <v>7500</v>
      </c>
      <c r="V48" s="17" t="n">
        <f aca="false">IF(CostLines!$F24="One-time",IF(V$4=CostLines!$N24,CostLines!$J24,0),IF(AND(V$4&gt;=CostLines!$N24,IF(CostLines!$O24="",TRUE(),V$4&lt;CostLines!$N24+CostLines!$O24)),CostLines!$P24,0))</f>
        <v>7500</v>
      </c>
      <c r="W48" s="17" t="n">
        <f aca="false">IF(CostLines!$F24="One-time",IF(W$4=CostLines!$N24,CostLines!$J24,0),IF(AND(W$4&gt;=CostLines!$N24,IF(CostLines!$O24="",TRUE(),W$4&lt;CostLines!$N24+CostLines!$O24)),CostLines!$P24,0))</f>
        <v>7500</v>
      </c>
      <c r="X48" s="17" t="n">
        <f aca="false">IF(CostLines!$F24="One-time",IF(X$4=CostLines!$N24,CostLines!$J24,0),IF(AND(X$4&gt;=CostLines!$N24,IF(CostLines!$O24="",TRUE(),X$4&lt;CostLines!$N24+CostLines!$O24)),CostLines!$P24,0))</f>
        <v>7500</v>
      </c>
      <c r="Y48" s="17" t="n">
        <f aca="false">IF(CostLines!$F24="One-time",IF(Y$4=CostLines!$N24,CostLines!$J24,0),IF(AND(Y$4&gt;=CostLines!$N24,IF(CostLines!$O24="",TRUE(),Y$4&lt;CostLines!$N24+CostLines!$O24)),CostLines!$P24,0))</f>
        <v>7500</v>
      </c>
      <c r="Z48" s="17" t="n">
        <f aca="false">IF(CostLines!$F24="One-time",IF(Z$4=CostLines!$N24,CostLines!$J24,0),IF(AND(Z$4&gt;=CostLines!$N24,IF(CostLines!$O24="",TRUE(),Z$4&lt;CostLines!$N24+CostLines!$O24)),CostLines!$P24,0))</f>
        <v>7500</v>
      </c>
      <c r="AA48" s="17" t="n">
        <f aca="false">IF(CostLines!$F24="One-time",IF(AA$4=CostLines!$N24,CostLines!$J24,0),IF(AND(AA$4&gt;=CostLines!$N24,IF(CostLines!$O24="",TRUE(),AA$4&lt;CostLines!$N24+CostLines!$O24)),CostLines!$P24,0))</f>
        <v>7500</v>
      </c>
      <c r="AB48" s="17" t="n">
        <f aca="false">IF(CostLines!$F24="One-time",IF(AB$4=CostLines!$N24,CostLines!$J24,0),IF(AND(AB$4&gt;=CostLines!$N24,IF(CostLines!$O24="",TRUE(),AB$4&lt;CostLines!$N24+CostLines!$O24)),CostLines!$P24,0))</f>
        <v>7500</v>
      </c>
      <c r="AC48" s="17" t="n">
        <f aca="false">IF(CostLines!$F24="One-time",IF(AC$4=CostLines!$N24,CostLines!$J24,0),IF(AND(AC$4&gt;=CostLines!$N24,IF(CostLines!$O24="",TRUE(),AC$4&lt;CostLines!$N24+CostLines!$O24)),CostLines!$P24,0))</f>
        <v>7500</v>
      </c>
      <c r="AD48" s="17" t="n">
        <f aca="false">IF(CostLines!$F24="One-time",IF(AD$4=CostLines!$N24,CostLines!$J24,0),IF(AND(AD$4&gt;=CostLines!$N24,IF(CostLines!$O24="",TRUE(),AD$4&lt;CostLines!$N24+CostLines!$O24)),CostLines!$P24,0))</f>
        <v>7500</v>
      </c>
      <c r="AE48" s="17" t="n">
        <f aca="false">IF(CostLines!$F24="One-time",IF(AE$4=CostLines!$N24,CostLines!$J24,0),IF(AND(AE$4&gt;=CostLines!$N24,IF(CostLines!$O24="",TRUE(),AE$4&lt;CostLines!$N24+CostLines!$O24)),CostLines!$P24,0))</f>
        <v>7500</v>
      </c>
      <c r="AF48" s="17" t="n">
        <f aca="false">IF(CostLines!$F24="One-time",IF(AF$4=CostLines!$N24,CostLines!$J24,0),IF(AND(AF$4&gt;=CostLines!$N24,IF(CostLines!$O24="",TRUE(),AF$4&lt;CostLines!$N24+CostLines!$O24)),CostLines!$P24,0))</f>
        <v>7500</v>
      </c>
      <c r="AG48" s="17" t="n">
        <f aca="false">IF(CostLines!$F24="One-time",IF(AG$4=CostLines!$N24,CostLines!$J24,0),IF(AND(AG$4&gt;=CostLines!$N24,IF(CostLines!$O24="",TRUE(),AG$4&lt;CostLines!$N24+CostLines!$O24)),CostLines!$P24,0))</f>
        <v>7500</v>
      </c>
      <c r="AH48" s="17" t="n">
        <f aca="false">IF(CostLines!$F24="One-time",IF(AH$4=CostLines!$N24,CostLines!$J24,0),IF(AND(AH$4&gt;=CostLines!$N24,IF(CostLines!$O24="",TRUE(),AH$4&lt;CostLines!$N24+CostLines!$O24)),CostLines!$P24,0))</f>
        <v>7500</v>
      </c>
      <c r="AI48" s="17" t="n">
        <f aca="false">IF(CostLines!$F24="One-time",IF(AI$4=CostLines!$N24,CostLines!$J24,0),IF(AND(AI$4&gt;=CostLines!$N24,IF(CostLines!$O24="",TRUE(),AI$4&lt;CostLines!$N24+CostLines!$O24)),CostLines!$P24,0))</f>
        <v>7500</v>
      </c>
      <c r="AJ48" s="17" t="n">
        <f aca="false">IF(CostLines!$F24="One-time",IF(AJ$4=CostLines!$N24,CostLines!$J24,0),IF(AND(AJ$4&gt;=CostLines!$N24,IF(CostLines!$O24="",TRUE(),AJ$4&lt;CostLines!$N24+CostLines!$O24)),CostLines!$P24,0))</f>
        <v>7500</v>
      </c>
      <c r="AK48" s="17" t="n">
        <f aca="false">IF(CostLines!$F24="One-time",IF(AK$4=CostLines!$N24,CostLines!$J24,0),IF(AND(AK$4&gt;=CostLines!$N24,IF(CostLines!$O24="",TRUE(),AK$4&lt;CostLines!$N24+CostLines!$O24)),CostLines!$P24,0))</f>
        <v>7500</v>
      </c>
      <c r="AL48" s="17" t="n">
        <f aca="false">IF(CostLines!$F24="One-time",IF(AL$4=CostLines!$N24,CostLines!$J24,0),IF(AND(AL$4&gt;=CostLines!$N24,IF(CostLines!$O24="",TRUE(),AL$4&lt;CostLines!$N24+CostLines!$O24)),CostLines!$P24,0))</f>
        <v>7500</v>
      </c>
      <c r="AM48" s="17" t="n">
        <f aca="false">IF(CostLines!$F24="One-time",IF(AM$4=CostLines!$N24,CostLines!$J24,0),IF(AND(AM$4&gt;=CostLines!$N24,IF(CostLines!$O24="",TRUE(),AM$4&lt;CostLines!$N24+CostLines!$O24)),CostLines!$P24,0))</f>
        <v>7500</v>
      </c>
      <c r="AN48" s="17" t="n">
        <f aca="false">IF(CostLines!$F24="One-time",IF(AN$4=CostLines!$N24,CostLines!$J24,0),IF(AND(AN$4&gt;=CostLines!$N24,IF(CostLines!$O24="",TRUE(),AN$4&lt;CostLines!$N24+CostLines!$O24)),CostLines!$P24,0))</f>
        <v>7500</v>
      </c>
      <c r="AO48" s="17" t="n">
        <f aca="false">IF(CostLines!$F24="One-time",IF(AO$4=CostLines!$N24,CostLines!$J24,0),IF(AND(AO$4&gt;=CostLines!$N24,IF(CostLines!$O24="",TRUE(),AO$4&lt;CostLines!$N24+CostLines!$O24)),CostLines!$P24,0))</f>
        <v>7500</v>
      </c>
    </row>
    <row r="49" customFormat="false" ht="15" hidden="false" customHeight="false" outlineLevel="0" collapsed="false">
      <c r="A49" s="24" t="str">
        <f aca="false">CostLines!B25</f>
        <v>Recruiting — search fees, five applied physicists</v>
      </c>
      <c r="B49" s="24" t="str">
        <f aca="false">CostLines!C25</f>
        <v>EnergyWave, Inc.</v>
      </c>
      <c r="C49" s="24" t="str">
        <f aca="false">CostLines!D25</f>
        <v>G&amp;A</v>
      </c>
      <c r="D49" s="24" t="str">
        <f aca="false">CostLines!E25</f>
        <v>Recruiting</v>
      </c>
      <c r="E49" s="30" t="n">
        <f aca="false">SUM(F49:AO49)</f>
        <v>150000</v>
      </c>
      <c r="F49" s="17" t="n">
        <f aca="false">IF(CostLines!$F25="One-time",IF(F$4=CostLines!$N25,CostLines!$J25,0),IF(AND(F$4&gt;=CostLines!$N25,IF(CostLines!$O25="",TRUE(),F$4&lt;CostLines!$N25+CostLines!$O25)),CostLines!$P25,0))</f>
        <v>150000</v>
      </c>
      <c r="G49" s="17" t="n">
        <f aca="false">IF(CostLines!$F25="One-time",IF(G$4=CostLines!$N25,CostLines!$J25,0),IF(AND(G$4&gt;=CostLines!$N25,IF(CostLines!$O25="",TRUE(),G$4&lt;CostLines!$N25+CostLines!$O25)),CostLines!$P25,0))</f>
        <v>0</v>
      </c>
      <c r="H49" s="17" t="n">
        <f aca="false">IF(CostLines!$F25="One-time",IF(H$4=CostLines!$N25,CostLines!$J25,0),IF(AND(H$4&gt;=CostLines!$N25,IF(CostLines!$O25="",TRUE(),H$4&lt;CostLines!$N25+CostLines!$O25)),CostLines!$P25,0))</f>
        <v>0</v>
      </c>
      <c r="I49" s="17" t="n">
        <f aca="false">IF(CostLines!$F25="One-time",IF(I$4=CostLines!$N25,CostLines!$J25,0),IF(AND(I$4&gt;=CostLines!$N25,IF(CostLines!$O25="",TRUE(),I$4&lt;CostLines!$N25+CostLines!$O25)),CostLines!$P25,0))</f>
        <v>0</v>
      </c>
      <c r="J49" s="17" t="n">
        <f aca="false">IF(CostLines!$F25="One-time",IF(J$4=CostLines!$N25,CostLines!$J25,0),IF(AND(J$4&gt;=CostLines!$N25,IF(CostLines!$O25="",TRUE(),J$4&lt;CostLines!$N25+CostLines!$O25)),CostLines!$P25,0))</f>
        <v>0</v>
      </c>
      <c r="K49" s="17" t="n">
        <f aca="false">IF(CostLines!$F25="One-time",IF(K$4=CostLines!$N25,CostLines!$J25,0),IF(AND(K$4&gt;=CostLines!$N25,IF(CostLines!$O25="",TRUE(),K$4&lt;CostLines!$N25+CostLines!$O25)),CostLines!$P25,0))</f>
        <v>0</v>
      </c>
      <c r="L49" s="17" t="n">
        <f aca="false">IF(CostLines!$F25="One-time",IF(L$4=CostLines!$N25,CostLines!$J25,0),IF(AND(L$4&gt;=CostLines!$N25,IF(CostLines!$O25="",TRUE(),L$4&lt;CostLines!$N25+CostLines!$O25)),CostLines!$P25,0))</f>
        <v>0</v>
      </c>
      <c r="M49" s="17" t="n">
        <f aca="false">IF(CostLines!$F25="One-time",IF(M$4=CostLines!$N25,CostLines!$J25,0),IF(AND(M$4&gt;=CostLines!$N25,IF(CostLines!$O25="",TRUE(),M$4&lt;CostLines!$N25+CostLines!$O25)),CostLines!$P25,0))</f>
        <v>0</v>
      </c>
      <c r="N49" s="17" t="n">
        <f aca="false">IF(CostLines!$F25="One-time",IF(N$4=CostLines!$N25,CostLines!$J25,0),IF(AND(N$4&gt;=CostLines!$N25,IF(CostLines!$O25="",TRUE(),N$4&lt;CostLines!$N25+CostLines!$O25)),CostLines!$P25,0))</f>
        <v>0</v>
      </c>
      <c r="O49" s="17" t="n">
        <f aca="false">IF(CostLines!$F25="One-time",IF(O$4=CostLines!$N25,CostLines!$J25,0),IF(AND(O$4&gt;=CostLines!$N25,IF(CostLines!$O25="",TRUE(),O$4&lt;CostLines!$N25+CostLines!$O25)),CostLines!$P25,0))</f>
        <v>0</v>
      </c>
      <c r="P49" s="17" t="n">
        <f aca="false">IF(CostLines!$F25="One-time",IF(P$4=CostLines!$N25,CostLines!$J25,0),IF(AND(P$4&gt;=CostLines!$N25,IF(CostLines!$O25="",TRUE(),P$4&lt;CostLines!$N25+CostLines!$O25)),CostLines!$P25,0))</f>
        <v>0</v>
      </c>
      <c r="Q49" s="17" t="n">
        <f aca="false">IF(CostLines!$F25="One-time",IF(Q$4=CostLines!$N25,CostLines!$J25,0),IF(AND(Q$4&gt;=CostLines!$N25,IF(CostLines!$O25="",TRUE(),Q$4&lt;CostLines!$N25+CostLines!$O25)),CostLines!$P25,0))</f>
        <v>0</v>
      </c>
      <c r="R49" s="17" t="n">
        <f aca="false">IF(CostLines!$F25="One-time",IF(R$4=CostLines!$N25,CostLines!$J25,0),IF(AND(R$4&gt;=CostLines!$N25,IF(CostLines!$O25="",TRUE(),R$4&lt;CostLines!$N25+CostLines!$O25)),CostLines!$P25,0))</f>
        <v>0</v>
      </c>
      <c r="S49" s="17" t="n">
        <f aca="false">IF(CostLines!$F25="One-time",IF(S$4=CostLines!$N25,CostLines!$J25,0),IF(AND(S$4&gt;=CostLines!$N25,IF(CostLines!$O25="",TRUE(),S$4&lt;CostLines!$N25+CostLines!$O25)),CostLines!$P25,0))</f>
        <v>0</v>
      </c>
      <c r="T49" s="17" t="n">
        <f aca="false">IF(CostLines!$F25="One-time",IF(T$4=CostLines!$N25,CostLines!$J25,0),IF(AND(T$4&gt;=CostLines!$N25,IF(CostLines!$O25="",TRUE(),T$4&lt;CostLines!$N25+CostLines!$O25)),CostLines!$P25,0))</f>
        <v>0</v>
      </c>
      <c r="U49" s="17" t="n">
        <f aca="false">IF(CostLines!$F25="One-time",IF(U$4=CostLines!$N25,CostLines!$J25,0),IF(AND(U$4&gt;=CostLines!$N25,IF(CostLines!$O25="",TRUE(),U$4&lt;CostLines!$N25+CostLines!$O25)),CostLines!$P25,0))</f>
        <v>0</v>
      </c>
      <c r="V49" s="17" t="n">
        <f aca="false">IF(CostLines!$F25="One-time",IF(V$4=CostLines!$N25,CostLines!$J25,0),IF(AND(V$4&gt;=CostLines!$N25,IF(CostLines!$O25="",TRUE(),V$4&lt;CostLines!$N25+CostLines!$O25)),CostLines!$P25,0))</f>
        <v>0</v>
      </c>
      <c r="W49" s="17" t="n">
        <f aca="false">IF(CostLines!$F25="One-time",IF(W$4=CostLines!$N25,CostLines!$J25,0),IF(AND(W$4&gt;=CostLines!$N25,IF(CostLines!$O25="",TRUE(),W$4&lt;CostLines!$N25+CostLines!$O25)),CostLines!$P25,0))</f>
        <v>0</v>
      </c>
      <c r="X49" s="17" t="n">
        <f aca="false">IF(CostLines!$F25="One-time",IF(X$4=CostLines!$N25,CostLines!$J25,0),IF(AND(X$4&gt;=CostLines!$N25,IF(CostLines!$O25="",TRUE(),X$4&lt;CostLines!$N25+CostLines!$O25)),CostLines!$P25,0))</f>
        <v>0</v>
      </c>
      <c r="Y49" s="17" t="n">
        <f aca="false">IF(CostLines!$F25="One-time",IF(Y$4=CostLines!$N25,CostLines!$J25,0),IF(AND(Y$4&gt;=CostLines!$N25,IF(CostLines!$O25="",TRUE(),Y$4&lt;CostLines!$N25+CostLines!$O25)),CostLines!$P25,0))</f>
        <v>0</v>
      </c>
      <c r="Z49" s="17" t="n">
        <f aca="false">IF(CostLines!$F25="One-time",IF(Z$4=CostLines!$N25,CostLines!$J25,0),IF(AND(Z$4&gt;=CostLines!$N25,IF(CostLines!$O25="",TRUE(),Z$4&lt;CostLines!$N25+CostLines!$O25)),CostLines!$P25,0))</f>
        <v>0</v>
      </c>
      <c r="AA49" s="17" t="n">
        <f aca="false">IF(CostLines!$F25="One-time",IF(AA$4=CostLines!$N25,CostLines!$J25,0),IF(AND(AA$4&gt;=CostLines!$N25,IF(CostLines!$O25="",TRUE(),AA$4&lt;CostLines!$N25+CostLines!$O25)),CostLines!$P25,0))</f>
        <v>0</v>
      </c>
      <c r="AB49" s="17" t="n">
        <f aca="false">IF(CostLines!$F25="One-time",IF(AB$4=CostLines!$N25,CostLines!$J25,0),IF(AND(AB$4&gt;=CostLines!$N25,IF(CostLines!$O25="",TRUE(),AB$4&lt;CostLines!$N25+CostLines!$O25)),CostLines!$P25,0))</f>
        <v>0</v>
      </c>
      <c r="AC49" s="17" t="n">
        <f aca="false">IF(CostLines!$F25="One-time",IF(AC$4=CostLines!$N25,CostLines!$J25,0),IF(AND(AC$4&gt;=CostLines!$N25,IF(CostLines!$O25="",TRUE(),AC$4&lt;CostLines!$N25+CostLines!$O25)),CostLines!$P25,0))</f>
        <v>0</v>
      </c>
      <c r="AD49" s="17" t="n">
        <f aca="false">IF(CostLines!$F25="One-time",IF(AD$4=CostLines!$N25,CostLines!$J25,0),IF(AND(AD$4&gt;=CostLines!$N25,IF(CostLines!$O25="",TRUE(),AD$4&lt;CostLines!$N25+CostLines!$O25)),CostLines!$P25,0))</f>
        <v>0</v>
      </c>
      <c r="AE49" s="17" t="n">
        <f aca="false">IF(CostLines!$F25="One-time",IF(AE$4=CostLines!$N25,CostLines!$J25,0),IF(AND(AE$4&gt;=CostLines!$N25,IF(CostLines!$O25="",TRUE(),AE$4&lt;CostLines!$N25+CostLines!$O25)),CostLines!$P25,0))</f>
        <v>0</v>
      </c>
      <c r="AF49" s="17" t="n">
        <f aca="false">IF(CostLines!$F25="One-time",IF(AF$4=CostLines!$N25,CostLines!$J25,0),IF(AND(AF$4&gt;=CostLines!$N25,IF(CostLines!$O25="",TRUE(),AF$4&lt;CostLines!$N25+CostLines!$O25)),CostLines!$P25,0))</f>
        <v>0</v>
      </c>
      <c r="AG49" s="17" t="n">
        <f aca="false">IF(CostLines!$F25="One-time",IF(AG$4=CostLines!$N25,CostLines!$J25,0),IF(AND(AG$4&gt;=CostLines!$N25,IF(CostLines!$O25="",TRUE(),AG$4&lt;CostLines!$N25+CostLines!$O25)),CostLines!$P25,0))</f>
        <v>0</v>
      </c>
      <c r="AH49" s="17" t="n">
        <f aca="false">IF(CostLines!$F25="One-time",IF(AH$4=CostLines!$N25,CostLines!$J25,0),IF(AND(AH$4&gt;=CostLines!$N25,IF(CostLines!$O25="",TRUE(),AH$4&lt;CostLines!$N25+CostLines!$O25)),CostLines!$P25,0))</f>
        <v>0</v>
      </c>
      <c r="AI49" s="17" t="n">
        <f aca="false">IF(CostLines!$F25="One-time",IF(AI$4=CostLines!$N25,CostLines!$J25,0),IF(AND(AI$4&gt;=CostLines!$N25,IF(CostLines!$O25="",TRUE(),AI$4&lt;CostLines!$N25+CostLines!$O25)),CostLines!$P25,0))</f>
        <v>0</v>
      </c>
      <c r="AJ49" s="17" t="n">
        <f aca="false">IF(CostLines!$F25="One-time",IF(AJ$4=CostLines!$N25,CostLines!$J25,0),IF(AND(AJ$4&gt;=CostLines!$N25,IF(CostLines!$O25="",TRUE(),AJ$4&lt;CostLines!$N25+CostLines!$O25)),CostLines!$P25,0))</f>
        <v>0</v>
      </c>
      <c r="AK49" s="17" t="n">
        <f aca="false">IF(CostLines!$F25="One-time",IF(AK$4=CostLines!$N25,CostLines!$J25,0),IF(AND(AK$4&gt;=CostLines!$N25,IF(CostLines!$O25="",TRUE(),AK$4&lt;CostLines!$N25+CostLines!$O25)),CostLines!$P25,0))</f>
        <v>0</v>
      </c>
      <c r="AL49" s="17" t="n">
        <f aca="false">IF(CostLines!$F25="One-time",IF(AL$4=CostLines!$N25,CostLines!$J25,0),IF(AND(AL$4&gt;=CostLines!$N25,IF(CostLines!$O25="",TRUE(),AL$4&lt;CostLines!$N25+CostLines!$O25)),CostLines!$P25,0))</f>
        <v>0</v>
      </c>
      <c r="AM49" s="17" t="n">
        <f aca="false">IF(CostLines!$F25="One-time",IF(AM$4=CostLines!$N25,CostLines!$J25,0),IF(AND(AM$4&gt;=CostLines!$N25,IF(CostLines!$O25="",TRUE(),AM$4&lt;CostLines!$N25+CostLines!$O25)),CostLines!$P25,0))</f>
        <v>0</v>
      </c>
      <c r="AN49" s="17" t="n">
        <f aca="false">IF(CostLines!$F25="One-time",IF(AN$4=CostLines!$N25,CostLines!$J25,0),IF(AND(AN$4&gt;=CostLines!$N25,IF(CostLines!$O25="",TRUE(),AN$4&lt;CostLines!$N25+CostLines!$O25)),CostLines!$P25,0))</f>
        <v>0</v>
      </c>
      <c r="AO49" s="17" t="n">
        <f aca="false">IF(CostLines!$F25="One-time",IF(AO$4=CostLines!$N25,CostLines!$J25,0),IF(AND(AO$4&gt;=CostLines!$N25,IF(CostLines!$O25="",TRUE(),AO$4&lt;CostLines!$N25+CostLines!$O25)),CostLines!$P25,0))</f>
        <v>0</v>
      </c>
    </row>
    <row r="50" customFormat="false" ht="15" hidden="false" customHeight="false" outlineLevel="0" collapsed="false">
      <c r="A50" s="24" t="str">
        <f aca="false">CostLines!B26</f>
        <v>Recruiting — other roles</v>
      </c>
      <c r="B50" s="24" t="str">
        <f aca="false">CostLines!C26</f>
        <v>EnergyWave, Inc.</v>
      </c>
      <c r="C50" s="24" t="str">
        <f aca="false">CostLines!D26</f>
        <v>G&amp;A</v>
      </c>
      <c r="D50" s="24" t="str">
        <f aca="false">CostLines!E26</f>
        <v>Recruiting</v>
      </c>
      <c r="E50" s="30" t="n">
        <f aca="false">SUM(F50:AO50)</f>
        <v>50000</v>
      </c>
      <c r="F50" s="17" t="n">
        <f aca="false">IF(CostLines!$F26="One-time",IF(F$4=CostLines!$N26,CostLines!$J26,0),IF(AND(F$4&gt;=CostLines!$N26,IF(CostLines!$O26="",TRUE(),F$4&lt;CostLines!$N26+CostLines!$O26)),CostLines!$P26,0))</f>
        <v>50000</v>
      </c>
      <c r="G50" s="17" t="n">
        <f aca="false">IF(CostLines!$F26="One-time",IF(G$4=CostLines!$N26,CostLines!$J26,0),IF(AND(G$4&gt;=CostLines!$N26,IF(CostLines!$O26="",TRUE(),G$4&lt;CostLines!$N26+CostLines!$O26)),CostLines!$P26,0))</f>
        <v>0</v>
      </c>
      <c r="H50" s="17" t="n">
        <f aca="false">IF(CostLines!$F26="One-time",IF(H$4=CostLines!$N26,CostLines!$J26,0),IF(AND(H$4&gt;=CostLines!$N26,IF(CostLines!$O26="",TRUE(),H$4&lt;CostLines!$N26+CostLines!$O26)),CostLines!$P26,0))</f>
        <v>0</v>
      </c>
      <c r="I50" s="17" t="n">
        <f aca="false">IF(CostLines!$F26="One-time",IF(I$4=CostLines!$N26,CostLines!$J26,0),IF(AND(I$4&gt;=CostLines!$N26,IF(CostLines!$O26="",TRUE(),I$4&lt;CostLines!$N26+CostLines!$O26)),CostLines!$P26,0))</f>
        <v>0</v>
      </c>
      <c r="J50" s="17" t="n">
        <f aca="false">IF(CostLines!$F26="One-time",IF(J$4=CostLines!$N26,CostLines!$J26,0),IF(AND(J$4&gt;=CostLines!$N26,IF(CostLines!$O26="",TRUE(),J$4&lt;CostLines!$N26+CostLines!$O26)),CostLines!$P26,0))</f>
        <v>0</v>
      </c>
      <c r="K50" s="17" t="n">
        <f aca="false">IF(CostLines!$F26="One-time",IF(K$4=CostLines!$N26,CostLines!$J26,0),IF(AND(K$4&gt;=CostLines!$N26,IF(CostLines!$O26="",TRUE(),K$4&lt;CostLines!$N26+CostLines!$O26)),CostLines!$P26,0))</f>
        <v>0</v>
      </c>
      <c r="L50" s="17" t="n">
        <f aca="false">IF(CostLines!$F26="One-time",IF(L$4=CostLines!$N26,CostLines!$J26,0),IF(AND(L$4&gt;=CostLines!$N26,IF(CostLines!$O26="",TRUE(),L$4&lt;CostLines!$N26+CostLines!$O26)),CostLines!$P26,0))</f>
        <v>0</v>
      </c>
      <c r="M50" s="17" t="n">
        <f aca="false">IF(CostLines!$F26="One-time",IF(M$4=CostLines!$N26,CostLines!$J26,0),IF(AND(M$4&gt;=CostLines!$N26,IF(CostLines!$O26="",TRUE(),M$4&lt;CostLines!$N26+CostLines!$O26)),CostLines!$P26,0))</f>
        <v>0</v>
      </c>
      <c r="N50" s="17" t="n">
        <f aca="false">IF(CostLines!$F26="One-time",IF(N$4=CostLines!$N26,CostLines!$J26,0),IF(AND(N$4&gt;=CostLines!$N26,IF(CostLines!$O26="",TRUE(),N$4&lt;CostLines!$N26+CostLines!$O26)),CostLines!$P26,0))</f>
        <v>0</v>
      </c>
      <c r="O50" s="17" t="n">
        <f aca="false">IF(CostLines!$F26="One-time",IF(O$4=CostLines!$N26,CostLines!$J26,0),IF(AND(O$4&gt;=CostLines!$N26,IF(CostLines!$O26="",TRUE(),O$4&lt;CostLines!$N26+CostLines!$O26)),CostLines!$P26,0))</f>
        <v>0</v>
      </c>
      <c r="P50" s="17" t="n">
        <f aca="false">IF(CostLines!$F26="One-time",IF(P$4=CostLines!$N26,CostLines!$J26,0),IF(AND(P$4&gt;=CostLines!$N26,IF(CostLines!$O26="",TRUE(),P$4&lt;CostLines!$N26+CostLines!$O26)),CostLines!$P26,0))</f>
        <v>0</v>
      </c>
      <c r="Q50" s="17" t="n">
        <f aca="false">IF(CostLines!$F26="One-time",IF(Q$4=CostLines!$N26,CostLines!$J26,0),IF(AND(Q$4&gt;=CostLines!$N26,IF(CostLines!$O26="",TRUE(),Q$4&lt;CostLines!$N26+CostLines!$O26)),CostLines!$P26,0))</f>
        <v>0</v>
      </c>
      <c r="R50" s="17" t="n">
        <f aca="false">IF(CostLines!$F26="One-time",IF(R$4=CostLines!$N26,CostLines!$J26,0),IF(AND(R$4&gt;=CostLines!$N26,IF(CostLines!$O26="",TRUE(),R$4&lt;CostLines!$N26+CostLines!$O26)),CostLines!$P26,0))</f>
        <v>0</v>
      </c>
      <c r="S50" s="17" t="n">
        <f aca="false">IF(CostLines!$F26="One-time",IF(S$4=CostLines!$N26,CostLines!$J26,0),IF(AND(S$4&gt;=CostLines!$N26,IF(CostLines!$O26="",TRUE(),S$4&lt;CostLines!$N26+CostLines!$O26)),CostLines!$P26,0))</f>
        <v>0</v>
      </c>
      <c r="T50" s="17" t="n">
        <f aca="false">IF(CostLines!$F26="One-time",IF(T$4=CostLines!$N26,CostLines!$J26,0),IF(AND(T$4&gt;=CostLines!$N26,IF(CostLines!$O26="",TRUE(),T$4&lt;CostLines!$N26+CostLines!$O26)),CostLines!$P26,0))</f>
        <v>0</v>
      </c>
      <c r="U50" s="17" t="n">
        <f aca="false">IF(CostLines!$F26="One-time",IF(U$4=CostLines!$N26,CostLines!$J26,0),IF(AND(U$4&gt;=CostLines!$N26,IF(CostLines!$O26="",TRUE(),U$4&lt;CostLines!$N26+CostLines!$O26)),CostLines!$P26,0))</f>
        <v>0</v>
      </c>
      <c r="V50" s="17" t="n">
        <f aca="false">IF(CostLines!$F26="One-time",IF(V$4=CostLines!$N26,CostLines!$J26,0),IF(AND(V$4&gt;=CostLines!$N26,IF(CostLines!$O26="",TRUE(),V$4&lt;CostLines!$N26+CostLines!$O26)),CostLines!$P26,0))</f>
        <v>0</v>
      </c>
      <c r="W50" s="17" t="n">
        <f aca="false">IF(CostLines!$F26="One-time",IF(W$4=CostLines!$N26,CostLines!$J26,0),IF(AND(W$4&gt;=CostLines!$N26,IF(CostLines!$O26="",TRUE(),W$4&lt;CostLines!$N26+CostLines!$O26)),CostLines!$P26,0))</f>
        <v>0</v>
      </c>
      <c r="X50" s="17" t="n">
        <f aca="false">IF(CostLines!$F26="One-time",IF(X$4=CostLines!$N26,CostLines!$J26,0),IF(AND(X$4&gt;=CostLines!$N26,IF(CostLines!$O26="",TRUE(),X$4&lt;CostLines!$N26+CostLines!$O26)),CostLines!$P26,0))</f>
        <v>0</v>
      </c>
      <c r="Y50" s="17" t="n">
        <f aca="false">IF(CostLines!$F26="One-time",IF(Y$4=CostLines!$N26,CostLines!$J26,0),IF(AND(Y$4&gt;=CostLines!$N26,IF(CostLines!$O26="",TRUE(),Y$4&lt;CostLines!$N26+CostLines!$O26)),CostLines!$P26,0))</f>
        <v>0</v>
      </c>
      <c r="Z50" s="17" t="n">
        <f aca="false">IF(CostLines!$F26="One-time",IF(Z$4=CostLines!$N26,CostLines!$J26,0),IF(AND(Z$4&gt;=CostLines!$N26,IF(CostLines!$O26="",TRUE(),Z$4&lt;CostLines!$N26+CostLines!$O26)),CostLines!$P26,0))</f>
        <v>0</v>
      </c>
      <c r="AA50" s="17" t="n">
        <f aca="false">IF(CostLines!$F26="One-time",IF(AA$4=CostLines!$N26,CostLines!$J26,0),IF(AND(AA$4&gt;=CostLines!$N26,IF(CostLines!$O26="",TRUE(),AA$4&lt;CostLines!$N26+CostLines!$O26)),CostLines!$P26,0))</f>
        <v>0</v>
      </c>
      <c r="AB50" s="17" t="n">
        <f aca="false">IF(CostLines!$F26="One-time",IF(AB$4=CostLines!$N26,CostLines!$J26,0),IF(AND(AB$4&gt;=CostLines!$N26,IF(CostLines!$O26="",TRUE(),AB$4&lt;CostLines!$N26+CostLines!$O26)),CostLines!$P26,0))</f>
        <v>0</v>
      </c>
      <c r="AC50" s="17" t="n">
        <f aca="false">IF(CostLines!$F26="One-time",IF(AC$4=CostLines!$N26,CostLines!$J26,0),IF(AND(AC$4&gt;=CostLines!$N26,IF(CostLines!$O26="",TRUE(),AC$4&lt;CostLines!$N26+CostLines!$O26)),CostLines!$P26,0))</f>
        <v>0</v>
      </c>
      <c r="AD50" s="17" t="n">
        <f aca="false">IF(CostLines!$F26="One-time",IF(AD$4=CostLines!$N26,CostLines!$J26,0),IF(AND(AD$4&gt;=CostLines!$N26,IF(CostLines!$O26="",TRUE(),AD$4&lt;CostLines!$N26+CostLines!$O26)),CostLines!$P26,0))</f>
        <v>0</v>
      </c>
      <c r="AE50" s="17" t="n">
        <f aca="false">IF(CostLines!$F26="One-time",IF(AE$4=CostLines!$N26,CostLines!$J26,0),IF(AND(AE$4&gt;=CostLines!$N26,IF(CostLines!$O26="",TRUE(),AE$4&lt;CostLines!$N26+CostLines!$O26)),CostLines!$P26,0))</f>
        <v>0</v>
      </c>
      <c r="AF50" s="17" t="n">
        <f aca="false">IF(CostLines!$F26="One-time",IF(AF$4=CostLines!$N26,CostLines!$J26,0),IF(AND(AF$4&gt;=CostLines!$N26,IF(CostLines!$O26="",TRUE(),AF$4&lt;CostLines!$N26+CostLines!$O26)),CostLines!$P26,0))</f>
        <v>0</v>
      </c>
      <c r="AG50" s="17" t="n">
        <f aca="false">IF(CostLines!$F26="One-time",IF(AG$4=CostLines!$N26,CostLines!$J26,0),IF(AND(AG$4&gt;=CostLines!$N26,IF(CostLines!$O26="",TRUE(),AG$4&lt;CostLines!$N26+CostLines!$O26)),CostLines!$P26,0))</f>
        <v>0</v>
      </c>
      <c r="AH50" s="17" t="n">
        <f aca="false">IF(CostLines!$F26="One-time",IF(AH$4=CostLines!$N26,CostLines!$J26,0),IF(AND(AH$4&gt;=CostLines!$N26,IF(CostLines!$O26="",TRUE(),AH$4&lt;CostLines!$N26+CostLines!$O26)),CostLines!$P26,0))</f>
        <v>0</v>
      </c>
      <c r="AI50" s="17" t="n">
        <f aca="false">IF(CostLines!$F26="One-time",IF(AI$4=CostLines!$N26,CostLines!$J26,0),IF(AND(AI$4&gt;=CostLines!$N26,IF(CostLines!$O26="",TRUE(),AI$4&lt;CostLines!$N26+CostLines!$O26)),CostLines!$P26,0))</f>
        <v>0</v>
      </c>
      <c r="AJ50" s="17" t="n">
        <f aca="false">IF(CostLines!$F26="One-time",IF(AJ$4=CostLines!$N26,CostLines!$J26,0),IF(AND(AJ$4&gt;=CostLines!$N26,IF(CostLines!$O26="",TRUE(),AJ$4&lt;CostLines!$N26+CostLines!$O26)),CostLines!$P26,0))</f>
        <v>0</v>
      </c>
      <c r="AK50" s="17" t="n">
        <f aca="false">IF(CostLines!$F26="One-time",IF(AK$4=CostLines!$N26,CostLines!$J26,0),IF(AND(AK$4&gt;=CostLines!$N26,IF(CostLines!$O26="",TRUE(),AK$4&lt;CostLines!$N26+CostLines!$O26)),CostLines!$P26,0))</f>
        <v>0</v>
      </c>
      <c r="AL50" s="17" t="n">
        <f aca="false">IF(CostLines!$F26="One-time",IF(AL$4=CostLines!$N26,CostLines!$J26,0),IF(AND(AL$4&gt;=CostLines!$N26,IF(CostLines!$O26="",TRUE(),AL$4&lt;CostLines!$N26+CostLines!$O26)),CostLines!$P26,0))</f>
        <v>0</v>
      </c>
      <c r="AM50" s="17" t="n">
        <f aca="false">IF(CostLines!$F26="One-time",IF(AM$4=CostLines!$N26,CostLines!$J26,0),IF(AND(AM$4&gt;=CostLines!$N26,IF(CostLines!$O26="",TRUE(),AM$4&lt;CostLines!$N26+CostLines!$O26)),CostLines!$P26,0))</f>
        <v>0</v>
      </c>
      <c r="AN50" s="17" t="n">
        <f aca="false">IF(CostLines!$F26="One-time",IF(AN$4=CostLines!$N26,CostLines!$J26,0),IF(AND(AN$4&gt;=CostLines!$N26,IF(CostLines!$O26="",TRUE(),AN$4&lt;CostLines!$N26+CostLines!$O26)),CostLines!$P26,0))</f>
        <v>0</v>
      </c>
      <c r="AO50" s="17" t="n">
        <f aca="false">IF(CostLines!$F26="One-time",IF(AO$4=CostLines!$N26,CostLines!$J26,0),IF(AND(AO$4&gt;=CostLines!$N26,IF(CostLines!$O26="",TRUE(),AO$4&lt;CostLines!$N26+CostLines!$O26)),CostLines!$P26,0))</f>
        <v>0</v>
      </c>
    </row>
    <row r="51" customFormat="false" ht="15" hidden="false" customHeight="false" outlineLevel="0" collapsed="false">
      <c r="A51" s="24" t="str">
        <f aca="false">CostLines!B27</f>
        <v>Travel &amp; government engagement</v>
      </c>
      <c r="B51" s="24" t="str">
        <f aca="false">CostLines!C27</f>
        <v>EnergyWave, Inc.</v>
      </c>
      <c r="C51" s="24" t="str">
        <f aca="false">CostLines!D27</f>
        <v>G&amp;A</v>
      </c>
      <c r="D51" s="24" t="str">
        <f aca="false">CostLines!E27</f>
        <v>Travel</v>
      </c>
      <c r="E51" s="30" t="n">
        <f aca="false">SUM(F51:AO51)</f>
        <v>288000</v>
      </c>
      <c r="F51" s="17" t="n">
        <f aca="false">IF(CostLines!$F27="One-time",IF(F$4=CostLines!$N27,CostLines!$J27,0),IF(AND(F$4&gt;=CostLines!$N27,IF(CostLines!$O27="",TRUE(),F$4&lt;CostLines!$N27+CostLines!$O27)),CostLines!$P27,0))</f>
        <v>8000</v>
      </c>
      <c r="G51" s="17" t="n">
        <f aca="false">IF(CostLines!$F27="One-time",IF(G$4=CostLines!$N27,CostLines!$J27,0),IF(AND(G$4&gt;=CostLines!$N27,IF(CostLines!$O27="",TRUE(),G$4&lt;CostLines!$N27+CostLines!$O27)),CostLines!$P27,0))</f>
        <v>8000</v>
      </c>
      <c r="H51" s="17" t="n">
        <f aca="false">IF(CostLines!$F27="One-time",IF(H$4=CostLines!$N27,CostLines!$J27,0),IF(AND(H$4&gt;=CostLines!$N27,IF(CostLines!$O27="",TRUE(),H$4&lt;CostLines!$N27+CostLines!$O27)),CostLines!$P27,0))</f>
        <v>8000</v>
      </c>
      <c r="I51" s="17" t="n">
        <f aca="false">IF(CostLines!$F27="One-time",IF(I$4=CostLines!$N27,CostLines!$J27,0),IF(AND(I$4&gt;=CostLines!$N27,IF(CostLines!$O27="",TRUE(),I$4&lt;CostLines!$N27+CostLines!$O27)),CostLines!$P27,0))</f>
        <v>8000</v>
      </c>
      <c r="J51" s="17" t="n">
        <f aca="false">IF(CostLines!$F27="One-time",IF(J$4=CostLines!$N27,CostLines!$J27,0),IF(AND(J$4&gt;=CostLines!$N27,IF(CostLines!$O27="",TRUE(),J$4&lt;CostLines!$N27+CostLines!$O27)),CostLines!$P27,0))</f>
        <v>8000</v>
      </c>
      <c r="K51" s="17" t="n">
        <f aca="false">IF(CostLines!$F27="One-time",IF(K$4=CostLines!$N27,CostLines!$J27,0),IF(AND(K$4&gt;=CostLines!$N27,IF(CostLines!$O27="",TRUE(),K$4&lt;CostLines!$N27+CostLines!$O27)),CostLines!$P27,0))</f>
        <v>8000</v>
      </c>
      <c r="L51" s="17" t="n">
        <f aca="false">IF(CostLines!$F27="One-time",IF(L$4=CostLines!$N27,CostLines!$J27,0),IF(AND(L$4&gt;=CostLines!$N27,IF(CostLines!$O27="",TRUE(),L$4&lt;CostLines!$N27+CostLines!$O27)),CostLines!$P27,0))</f>
        <v>8000</v>
      </c>
      <c r="M51" s="17" t="n">
        <f aca="false">IF(CostLines!$F27="One-time",IF(M$4=CostLines!$N27,CostLines!$J27,0),IF(AND(M$4&gt;=CostLines!$N27,IF(CostLines!$O27="",TRUE(),M$4&lt;CostLines!$N27+CostLines!$O27)),CostLines!$P27,0))</f>
        <v>8000</v>
      </c>
      <c r="N51" s="17" t="n">
        <f aca="false">IF(CostLines!$F27="One-time",IF(N$4=CostLines!$N27,CostLines!$J27,0),IF(AND(N$4&gt;=CostLines!$N27,IF(CostLines!$O27="",TRUE(),N$4&lt;CostLines!$N27+CostLines!$O27)),CostLines!$P27,0))</f>
        <v>8000</v>
      </c>
      <c r="O51" s="17" t="n">
        <f aca="false">IF(CostLines!$F27="One-time",IF(O$4=CostLines!$N27,CostLines!$J27,0),IF(AND(O$4&gt;=CostLines!$N27,IF(CostLines!$O27="",TRUE(),O$4&lt;CostLines!$N27+CostLines!$O27)),CostLines!$P27,0))</f>
        <v>8000</v>
      </c>
      <c r="P51" s="17" t="n">
        <f aca="false">IF(CostLines!$F27="One-time",IF(P$4=CostLines!$N27,CostLines!$J27,0),IF(AND(P$4&gt;=CostLines!$N27,IF(CostLines!$O27="",TRUE(),P$4&lt;CostLines!$N27+CostLines!$O27)),CostLines!$P27,0))</f>
        <v>8000</v>
      </c>
      <c r="Q51" s="17" t="n">
        <f aca="false">IF(CostLines!$F27="One-time",IF(Q$4=CostLines!$N27,CostLines!$J27,0),IF(AND(Q$4&gt;=CostLines!$N27,IF(CostLines!$O27="",TRUE(),Q$4&lt;CostLines!$N27+CostLines!$O27)),CostLines!$P27,0))</f>
        <v>8000</v>
      </c>
      <c r="R51" s="17" t="n">
        <f aca="false">IF(CostLines!$F27="One-time",IF(R$4=CostLines!$N27,CostLines!$J27,0),IF(AND(R$4&gt;=CostLines!$N27,IF(CostLines!$O27="",TRUE(),R$4&lt;CostLines!$N27+CostLines!$O27)),CostLines!$P27,0))</f>
        <v>8000</v>
      </c>
      <c r="S51" s="17" t="n">
        <f aca="false">IF(CostLines!$F27="One-time",IF(S$4=CostLines!$N27,CostLines!$J27,0),IF(AND(S$4&gt;=CostLines!$N27,IF(CostLines!$O27="",TRUE(),S$4&lt;CostLines!$N27+CostLines!$O27)),CostLines!$P27,0))</f>
        <v>8000</v>
      </c>
      <c r="T51" s="17" t="n">
        <f aca="false">IF(CostLines!$F27="One-time",IF(T$4=CostLines!$N27,CostLines!$J27,0),IF(AND(T$4&gt;=CostLines!$N27,IF(CostLines!$O27="",TRUE(),T$4&lt;CostLines!$N27+CostLines!$O27)),CostLines!$P27,0))</f>
        <v>8000</v>
      </c>
      <c r="U51" s="17" t="n">
        <f aca="false">IF(CostLines!$F27="One-time",IF(U$4=CostLines!$N27,CostLines!$J27,0),IF(AND(U$4&gt;=CostLines!$N27,IF(CostLines!$O27="",TRUE(),U$4&lt;CostLines!$N27+CostLines!$O27)),CostLines!$P27,0))</f>
        <v>8000</v>
      </c>
      <c r="V51" s="17" t="n">
        <f aca="false">IF(CostLines!$F27="One-time",IF(V$4=CostLines!$N27,CostLines!$J27,0),IF(AND(V$4&gt;=CostLines!$N27,IF(CostLines!$O27="",TRUE(),V$4&lt;CostLines!$N27+CostLines!$O27)),CostLines!$P27,0))</f>
        <v>8000</v>
      </c>
      <c r="W51" s="17" t="n">
        <f aca="false">IF(CostLines!$F27="One-time",IF(W$4=CostLines!$N27,CostLines!$J27,0),IF(AND(W$4&gt;=CostLines!$N27,IF(CostLines!$O27="",TRUE(),W$4&lt;CostLines!$N27+CostLines!$O27)),CostLines!$P27,0))</f>
        <v>8000</v>
      </c>
      <c r="X51" s="17" t="n">
        <f aca="false">IF(CostLines!$F27="One-time",IF(X$4=CostLines!$N27,CostLines!$J27,0),IF(AND(X$4&gt;=CostLines!$N27,IF(CostLines!$O27="",TRUE(),X$4&lt;CostLines!$N27+CostLines!$O27)),CostLines!$P27,0))</f>
        <v>8000</v>
      </c>
      <c r="Y51" s="17" t="n">
        <f aca="false">IF(CostLines!$F27="One-time",IF(Y$4=CostLines!$N27,CostLines!$J27,0),IF(AND(Y$4&gt;=CostLines!$N27,IF(CostLines!$O27="",TRUE(),Y$4&lt;CostLines!$N27+CostLines!$O27)),CostLines!$P27,0))</f>
        <v>8000</v>
      </c>
      <c r="Z51" s="17" t="n">
        <f aca="false">IF(CostLines!$F27="One-time",IF(Z$4=CostLines!$N27,CostLines!$J27,0),IF(AND(Z$4&gt;=CostLines!$N27,IF(CostLines!$O27="",TRUE(),Z$4&lt;CostLines!$N27+CostLines!$O27)),CostLines!$P27,0))</f>
        <v>8000</v>
      </c>
      <c r="AA51" s="17" t="n">
        <f aca="false">IF(CostLines!$F27="One-time",IF(AA$4=CostLines!$N27,CostLines!$J27,0),IF(AND(AA$4&gt;=CostLines!$N27,IF(CostLines!$O27="",TRUE(),AA$4&lt;CostLines!$N27+CostLines!$O27)),CostLines!$P27,0))</f>
        <v>8000</v>
      </c>
      <c r="AB51" s="17" t="n">
        <f aca="false">IF(CostLines!$F27="One-time",IF(AB$4=CostLines!$N27,CostLines!$J27,0),IF(AND(AB$4&gt;=CostLines!$N27,IF(CostLines!$O27="",TRUE(),AB$4&lt;CostLines!$N27+CostLines!$O27)),CostLines!$P27,0))</f>
        <v>8000</v>
      </c>
      <c r="AC51" s="17" t="n">
        <f aca="false">IF(CostLines!$F27="One-time",IF(AC$4=CostLines!$N27,CostLines!$J27,0),IF(AND(AC$4&gt;=CostLines!$N27,IF(CostLines!$O27="",TRUE(),AC$4&lt;CostLines!$N27+CostLines!$O27)),CostLines!$P27,0))</f>
        <v>8000</v>
      </c>
      <c r="AD51" s="17" t="n">
        <f aca="false">IF(CostLines!$F27="One-time",IF(AD$4=CostLines!$N27,CostLines!$J27,0),IF(AND(AD$4&gt;=CostLines!$N27,IF(CostLines!$O27="",TRUE(),AD$4&lt;CostLines!$N27+CostLines!$O27)),CostLines!$P27,0))</f>
        <v>8000</v>
      </c>
      <c r="AE51" s="17" t="n">
        <f aca="false">IF(CostLines!$F27="One-time",IF(AE$4=CostLines!$N27,CostLines!$J27,0),IF(AND(AE$4&gt;=CostLines!$N27,IF(CostLines!$O27="",TRUE(),AE$4&lt;CostLines!$N27+CostLines!$O27)),CostLines!$P27,0))</f>
        <v>8000</v>
      </c>
      <c r="AF51" s="17" t="n">
        <f aca="false">IF(CostLines!$F27="One-time",IF(AF$4=CostLines!$N27,CostLines!$J27,0),IF(AND(AF$4&gt;=CostLines!$N27,IF(CostLines!$O27="",TRUE(),AF$4&lt;CostLines!$N27+CostLines!$O27)),CostLines!$P27,0))</f>
        <v>8000</v>
      </c>
      <c r="AG51" s="17" t="n">
        <f aca="false">IF(CostLines!$F27="One-time",IF(AG$4=CostLines!$N27,CostLines!$J27,0),IF(AND(AG$4&gt;=CostLines!$N27,IF(CostLines!$O27="",TRUE(),AG$4&lt;CostLines!$N27+CostLines!$O27)),CostLines!$P27,0))</f>
        <v>8000</v>
      </c>
      <c r="AH51" s="17" t="n">
        <f aca="false">IF(CostLines!$F27="One-time",IF(AH$4=CostLines!$N27,CostLines!$J27,0),IF(AND(AH$4&gt;=CostLines!$N27,IF(CostLines!$O27="",TRUE(),AH$4&lt;CostLines!$N27+CostLines!$O27)),CostLines!$P27,0))</f>
        <v>8000</v>
      </c>
      <c r="AI51" s="17" t="n">
        <f aca="false">IF(CostLines!$F27="One-time",IF(AI$4=CostLines!$N27,CostLines!$J27,0),IF(AND(AI$4&gt;=CostLines!$N27,IF(CostLines!$O27="",TRUE(),AI$4&lt;CostLines!$N27+CostLines!$O27)),CostLines!$P27,0))</f>
        <v>8000</v>
      </c>
      <c r="AJ51" s="17" t="n">
        <f aca="false">IF(CostLines!$F27="One-time",IF(AJ$4=CostLines!$N27,CostLines!$J27,0),IF(AND(AJ$4&gt;=CostLines!$N27,IF(CostLines!$O27="",TRUE(),AJ$4&lt;CostLines!$N27+CostLines!$O27)),CostLines!$P27,0))</f>
        <v>8000</v>
      </c>
      <c r="AK51" s="17" t="n">
        <f aca="false">IF(CostLines!$F27="One-time",IF(AK$4=CostLines!$N27,CostLines!$J27,0),IF(AND(AK$4&gt;=CostLines!$N27,IF(CostLines!$O27="",TRUE(),AK$4&lt;CostLines!$N27+CostLines!$O27)),CostLines!$P27,0))</f>
        <v>8000</v>
      </c>
      <c r="AL51" s="17" t="n">
        <f aca="false">IF(CostLines!$F27="One-time",IF(AL$4=CostLines!$N27,CostLines!$J27,0),IF(AND(AL$4&gt;=CostLines!$N27,IF(CostLines!$O27="",TRUE(),AL$4&lt;CostLines!$N27+CostLines!$O27)),CostLines!$P27,0))</f>
        <v>8000</v>
      </c>
      <c r="AM51" s="17" t="n">
        <f aca="false">IF(CostLines!$F27="One-time",IF(AM$4=CostLines!$N27,CostLines!$J27,0),IF(AND(AM$4&gt;=CostLines!$N27,IF(CostLines!$O27="",TRUE(),AM$4&lt;CostLines!$N27+CostLines!$O27)),CostLines!$P27,0))</f>
        <v>8000</v>
      </c>
      <c r="AN51" s="17" t="n">
        <f aca="false">IF(CostLines!$F27="One-time",IF(AN$4=CostLines!$N27,CostLines!$J27,0),IF(AND(AN$4&gt;=CostLines!$N27,IF(CostLines!$O27="",TRUE(),AN$4&lt;CostLines!$N27+CostLines!$O27)),CostLines!$P27,0))</f>
        <v>8000</v>
      </c>
      <c r="AO51" s="17" t="n">
        <f aca="false">IF(CostLines!$F27="One-time",IF(AO$4=CostLines!$N27,CostLines!$J27,0),IF(AND(AO$4&gt;=CostLines!$N27,IF(CostLines!$O27="",TRUE(),AO$4&lt;CostLines!$N27+CostLines!$O27)),CostLines!$P27,0))</f>
        <v>8000</v>
      </c>
    </row>
    <row r="52" customFormat="false" ht="15" hidden="false" customHeight="false" outlineLevel="0" collapsed="false">
      <c r="A52" s="24" t="str">
        <f aca="false">CostLines!B28</f>
        <v>Publications, null-results registry, conferences</v>
      </c>
      <c r="B52" s="24" t="str">
        <f aca="false">CostLines!C28</f>
        <v>EnergyWave, Inc.</v>
      </c>
      <c r="C52" s="24" t="str">
        <f aca="false">CostLines!D28</f>
        <v>Research</v>
      </c>
      <c r="D52" s="24" t="str">
        <f aca="false">CostLines!E28</f>
        <v>Dissemination</v>
      </c>
      <c r="E52" s="30" t="n">
        <f aca="false">SUM(F52:AO52)</f>
        <v>105000</v>
      </c>
      <c r="F52" s="17" t="n">
        <f aca="false">IF(CostLines!$F28="One-time",IF(F$4=CostLines!$N28,CostLines!$J28,0),IF(AND(F$4&gt;=CostLines!$N28,IF(CostLines!$O28="",TRUE(),F$4&lt;CostLines!$N28+CostLines!$O28)),CostLines!$P28,0))</f>
        <v>0</v>
      </c>
      <c r="G52" s="17" t="n">
        <f aca="false">IF(CostLines!$F28="One-time",IF(G$4=CostLines!$N28,CostLines!$J28,0),IF(AND(G$4&gt;=CostLines!$N28,IF(CostLines!$O28="",TRUE(),G$4&lt;CostLines!$N28+CostLines!$O28)),CostLines!$P28,0))</f>
        <v>3000</v>
      </c>
      <c r="H52" s="17" t="n">
        <f aca="false">IF(CostLines!$F28="One-time",IF(H$4=CostLines!$N28,CostLines!$J28,0),IF(AND(H$4&gt;=CostLines!$N28,IF(CostLines!$O28="",TRUE(),H$4&lt;CostLines!$N28+CostLines!$O28)),CostLines!$P28,0))</f>
        <v>3000</v>
      </c>
      <c r="I52" s="17" t="n">
        <f aca="false">IF(CostLines!$F28="One-time",IF(I$4=CostLines!$N28,CostLines!$J28,0),IF(AND(I$4&gt;=CostLines!$N28,IF(CostLines!$O28="",TRUE(),I$4&lt;CostLines!$N28+CostLines!$O28)),CostLines!$P28,0))</f>
        <v>3000</v>
      </c>
      <c r="J52" s="17" t="n">
        <f aca="false">IF(CostLines!$F28="One-time",IF(J$4=CostLines!$N28,CostLines!$J28,0),IF(AND(J$4&gt;=CostLines!$N28,IF(CostLines!$O28="",TRUE(),J$4&lt;CostLines!$N28+CostLines!$O28)),CostLines!$P28,0))</f>
        <v>3000</v>
      </c>
      <c r="K52" s="17" t="n">
        <f aca="false">IF(CostLines!$F28="One-time",IF(K$4=CostLines!$N28,CostLines!$J28,0),IF(AND(K$4&gt;=CostLines!$N28,IF(CostLines!$O28="",TRUE(),K$4&lt;CostLines!$N28+CostLines!$O28)),CostLines!$P28,0))</f>
        <v>3000</v>
      </c>
      <c r="L52" s="17" t="n">
        <f aca="false">IF(CostLines!$F28="One-time",IF(L$4=CostLines!$N28,CostLines!$J28,0),IF(AND(L$4&gt;=CostLines!$N28,IF(CostLines!$O28="",TRUE(),L$4&lt;CostLines!$N28+CostLines!$O28)),CostLines!$P28,0))</f>
        <v>3000</v>
      </c>
      <c r="M52" s="17" t="n">
        <f aca="false">IF(CostLines!$F28="One-time",IF(M$4=CostLines!$N28,CostLines!$J28,0),IF(AND(M$4&gt;=CostLines!$N28,IF(CostLines!$O28="",TRUE(),M$4&lt;CostLines!$N28+CostLines!$O28)),CostLines!$P28,0))</f>
        <v>3000</v>
      </c>
      <c r="N52" s="17" t="n">
        <f aca="false">IF(CostLines!$F28="One-time",IF(N$4=CostLines!$N28,CostLines!$J28,0),IF(AND(N$4&gt;=CostLines!$N28,IF(CostLines!$O28="",TRUE(),N$4&lt;CostLines!$N28+CostLines!$O28)),CostLines!$P28,0))</f>
        <v>3000</v>
      </c>
      <c r="O52" s="17" t="n">
        <f aca="false">IF(CostLines!$F28="One-time",IF(O$4=CostLines!$N28,CostLines!$J28,0),IF(AND(O$4&gt;=CostLines!$N28,IF(CostLines!$O28="",TRUE(),O$4&lt;CostLines!$N28+CostLines!$O28)),CostLines!$P28,0))</f>
        <v>3000</v>
      </c>
      <c r="P52" s="17" t="n">
        <f aca="false">IF(CostLines!$F28="One-time",IF(P$4=CostLines!$N28,CostLines!$J28,0),IF(AND(P$4&gt;=CostLines!$N28,IF(CostLines!$O28="",TRUE(),P$4&lt;CostLines!$N28+CostLines!$O28)),CostLines!$P28,0))</f>
        <v>3000</v>
      </c>
      <c r="Q52" s="17" t="n">
        <f aca="false">IF(CostLines!$F28="One-time",IF(Q$4=CostLines!$N28,CostLines!$J28,0),IF(AND(Q$4&gt;=CostLines!$N28,IF(CostLines!$O28="",TRUE(),Q$4&lt;CostLines!$N28+CostLines!$O28)),CostLines!$P28,0))</f>
        <v>3000</v>
      </c>
      <c r="R52" s="17" t="n">
        <f aca="false">IF(CostLines!$F28="One-time",IF(R$4=CostLines!$N28,CostLines!$J28,0),IF(AND(R$4&gt;=CostLines!$N28,IF(CostLines!$O28="",TRUE(),R$4&lt;CostLines!$N28+CostLines!$O28)),CostLines!$P28,0))</f>
        <v>3000</v>
      </c>
      <c r="S52" s="17" t="n">
        <f aca="false">IF(CostLines!$F28="One-time",IF(S$4=CostLines!$N28,CostLines!$J28,0),IF(AND(S$4&gt;=CostLines!$N28,IF(CostLines!$O28="",TRUE(),S$4&lt;CostLines!$N28+CostLines!$O28)),CostLines!$P28,0))</f>
        <v>3000</v>
      </c>
      <c r="T52" s="17" t="n">
        <f aca="false">IF(CostLines!$F28="One-time",IF(T$4=CostLines!$N28,CostLines!$J28,0),IF(AND(T$4&gt;=CostLines!$N28,IF(CostLines!$O28="",TRUE(),T$4&lt;CostLines!$N28+CostLines!$O28)),CostLines!$P28,0))</f>
        <v>3000</v>
      </c>
      <c r="U52" s="17" t="n">
        <f aca="false">IF(CostLines!$F28="One-time",IF(U$4=CostLines!$N28,CostLines!$J28,0),IF(AND(U$4&gt;=CostLines!$N28,IF(CostLines!$O28="",TRUE(),U$4&lt;CostLines!$N28+CostLines!$O28)),CostLines!$P28,0))</f>
        <v>3000</v>
      </c>
      <c r="V52" s="17" t="n">
        <f aca="false">IF(CostLines!$F28="One-time",IF(V$4=CostLines!$N28,CostLines!$J28,0),IF(AND(V$4&gt;=CostLines!$N28,IF(CostLines!$O28="",TRUE(),V$4&lt;CostLines!$N28+CostLines!$O28)),CostLines!$P28,0))</f>
        <v>3000</v>
      </c>
      <c r="W52" s="17" t="n">
        <f aca="false">IF(CostLines!$F28="One-time",IF(W$4=CostLines!$N28,CostLines!$J28,0),IF(AND(W$4&gt;=CostLines!$N28,IF(CostLines!$O28="",TRUE(),W$4&lt;CostLines!$N28+CostLines!$O28)),CostLines!$P28,0))</f>
        <v>3000</v>
      </c>
      <c r="X52" s="17" t="n">
        <f aca="false">IF(CostLines!$F28="One-time",IF(X$4=CostLines!$N28,CostLines!$J28,0),IF(AND(X$4&gt;=CostLines!$N28,IF(CostLines!$O28="",TRUE(),X$4&lt;CostLines!$N28+CostLines!$O28)),CostLines!$P28,0))</f>
        <v>3000</v>
      </c>
      <c r="Y52" s="17" t="n">
        <f aca="false">IF(CostLines!$F28="One-time",IF(Y$4=CostLines!$N28,CostLines!$J28,0),IF(AND(Y$4&gt;=CostLines!$N28,IF(CostLines!$O28="",TRUE(),Y$4&lt;CostLines!$N28+CostLines!$O28)),CostLines!$P28,0))</f>
        <v>3000</v>
      </c>
      <c r="Z52" s="17" t="n">
        <f aca="false">IF(CostLines!$F28="One-time",IF(Z$4=CostLines!$N28,CostLines!$J28,0),IF(AND(Z$4&gt;=CostLines!$N28,IF(CostLines!$O28="",TRUE(),Z$4&lt;CostLines!$N28+CostLines!$O28)),CostLines!$P28,0))</f>
        <v>3000</v>
      </c>
      <c r="AA52" s="17" t="n">
        <f aca="false">IF(CostLines!$F28="One-time",IF(AA$4=CostLines!$N28,CostLines!$J28,0),IF(AND(AA$4&gt;=CostLines!$N28,IF(CostLines!$O28="",TRUE(),AA$4&lt;CostLines!$N28+CostLines!$O28)),CostLines!$P28,0))</f>
        <v>3000</v>
      </c>
      <c r="AB52" s="17" t="n">
        <f aca="false">IF(CostLines!$F28="One-time",IF(AB$4=CostLines!$N28,CostLines!$J28,0),IF(AND(AB$4&gt;=CostLines!$N28,IF(CostLines!$O28="",TRUE(),AB$4&lt;CostLines!$N28+CostLines!$O28)),CostLines!$P28,0))</f>
        <v>3000</v>
      </c>
      <c r="AC52" s="17" t="n">
        <f aca="false">IF(CostLines!$F28="One-time",IF(AC$4=CostLines!$N28,CostLines!$J28,0),IF(AND(AC$4&gt;=CostLines!$N28,IF(CostLines!$O28="",TRUE(),AC$4&lt;CostLines!$N28+CostLines!$O28)),CostLines!$P28,0))</f>
        <v>3000</v>
      </c>
      <c r="AD52" s="17" t="n">
        <f aca="false">IF(CostLines!$F28="One-time",IF(AD$4=CostLines!$N28,CostLines!$J28,0),IF(AND(AD$4&gt;=CostLines!$N28,IF(CostLines!$O28="",TRUE(),AD$4&lt;CostLines!$N28+CostLines!$O28)),CostLines!$P28,0))</f>
        <v>3000</v>
      </c>
      <c r="AE52" s="17" t="n">
        <f aca="false">IF(CostLines!$F28="One-time",IF(AE$4=CostLines!$N28,CostLines!$J28,0),IF(AND(AE$4&gt;=CostLines!$N28,IF(CostLines!$O28="",TRUE(),AE$4&lt;CostLines!$N28+CostLines!$O28)),CostLines!$P28,0))</f>
        <v>3000</v>
      </c>
      <c r="AF52" s="17" t="n">
        <f aca="false">IF(CostLines!$F28="One-time",IF(AF$4=CostLines!$N28,CostLines!$J28,0),IF(AND(AF$4&gt;=CostLines!$N28,IF(CostLines!$O28="",TRUE(),AF$4&lt;CostLines!$N28+CostLines!$O28)),CostLines!$P28,0))</f>
        <v>3000</v>
      </c>
      <c r="AG52" s="17" t="n">
        <f aca="false">IF(CostLines!$F28="One-time",IF(AG$4=CostLines!$N28,CostLines!$J28,0),IF(AND(AG$4&gt;=CostLines!$N28,IF(CostLines!$O28="",TRUE(),AG$4&lt;CostLines!$N28+CostLines!$O28)),CostLines!$P28,0))</f>
        <v>3000</v>
      </c>
      <c r="AH52" s="17" t="n">
        <f aca="false">IF(CostLines!$F28="One-time",IF(AH$4=CostLines!$N28,CostLines!$J28,0),IF(AND(AH$4&gt;=CostLines!$N28,IF(CostLines!$O28="",TRUE(),AH$4&lt;CostLines!$N28+CostLines!$O28)),CostLines!$P28,0))</f>
        <v>3000</v>
      </c>
      <c r="AI52" s="17" t="n">
        <f aca="false">IF(CostLines!$F28="One-time",IF(AI$4=CostLines!$N28,CostLines!$J28,0),IF(AND(AI$4&gt;=CostLines!$N28,IF(CostLines!$O28="",TRUE(),AI$4&lt;CostLines!$N28+CostLines!$O28)),CostLines!$P28,0))</f>
        <v>3000</v>
      </c>
      <c r="AJ52" s="17" t="n">
        <f aca="false">IF(CostLines!$F28="One-time",IF(AJ$4=CostLines!$N28,CostLines!$J28,0),IF(AND(AJ$4&gt;=CostLines!$N28,IF(CostLines!$O28="",TRUE(),AJ$4&lt;CostLines!$N28+CostLines!$O28)),CostLines!$P28,0))</f>
        <v>3000</v>
      </c>
      <c r="AK52" s="17" t="n">
        <f aca="false">IF(CostLines!$F28="One-time",IF(AK$4=CostLines!$N28,CostLines!$J28,0),IF(AND(AK$4&gt;=CostLines!$N28,IF(CostLines!$O28="",TRUE(),AK$4&lt;CostLines!$N28+CostLines!$O28)),CostLines!$P28,0))</f>
        <v>3000</v>
      </c>
      <c r="AL52" s="17" t="n">
        <f aca="false">IF(CostLines!$F28="One-time",IF(AL$4=CostLines!$N28,CostLines!$J28,0),IF(AND(AL$4&gt;=CostLines!$N28,IF(CostLines!$O28="",TRUE(),AL$4&lt;CostLines!$N28+CostLines!$O28)),CostLines!$P28,0))</f>
        <v>3000</v>
      </c>
      <c r="AM52" s="17" t="n">
        <f aca="false">IF(CostLines!$F28="One-time",IF(AM$4=CostLines!$N28,CostLines!$J28,0),IF(AND(AM$4&gt;=CostLines!$N28,IF(CostLines!$O28="",TRUE(),AM$4&lt;CostLines!$N28+CostLines!$O28)),CostLines!$P28,0))</f>
        <v>3000</v>
      </c>
      <c r="AN52" s="17" t="n">
        <f aca="false">IF(CostLines!$F28="One-time",IF(AN$4=CostLines!$N28,CostLines!$J28,0),IF(AND(AN$4&gt;=CostLines!$N28,IF(CostLines!$O28="",TRUE(),AN$4&lt;CostLines!$N28+CostLines!$O28)),CostLines!$P28,0))</f>
        <v>3000</v>
      </c>
      <c r="AO52" s="17" t="n">
        <f aca="false">IF(CostLines!$F28="One-time",IF(AO$4=CostLines!$N28,CostLines!$J28,0),IF(AND(AO$4&gt;=CostLines!$N28,IF(CostLines!$O28="",TRUE(),AO$4&lt;CostLines!$N28+CostLines!$O28)),CostLines!$P28,0))</f>
        <v>3000</v>
      </c>
    </row>
    <row r="53" customFormat="false" ht="15" hidden="false" customHeight="false" outlineLevel="0" collapsed="false">
      <c r="A53" s="24" t="str">
        <f aca="false">CostLines!B29</f>
        <v>Office equipment &amp; IT hardware</v>
      </c>
      <c r="B53" s="24" t="str">
        <f aca="false">CostLines!C29</f>
        <v>EnergyWave, Inc.</v>
      </c>
      <c r="C53" s="24" t="str">
        <f aca="false">CostLines!D29</f>
        <v>G&amp;A</v>
      </c>
      <c r="D53" s="24" t="str">
        <f aca="false">CostLines!E29</f>
        <v>Office</v>
      </c>
      <c r="E53" s="30" t="n">
        <f aca="false">SUM(F53:AO53)</f>
        <v>70000</v>
      </c>
      <c r="F53" s="17" t="n">
        <f aca="false">IF(CostLines!$F29="One-time",IF(F$4=CostLines!$N29,CostLines!$J29,0),IF(AND(F$4&gt;=CostLines!$N29,IF(CostLines!$O29="",TRUE(),F$4&lt;CostLines!$N29+CostLines!$O29)),CostLines!$P29,0))</f>
        <v>0</v>
      </c>
      <c r="G53" s="17" t="n">
        <f aca="false">IF(CostLines!$F29="One-time",IF(G$4=CostLines!$N29,CostLines!$J29,0),IF(AND(G$4&gt;=CostLines!$N29,IF(CostLines!$O29="",TRUE(),G$4&lt;CostLines!$N29+CostLines!$O29)),CostLines!$P29,0))</f>
        <v>70000</v>
      </c>
      <c r="H53" s="17" t="n">
        <f aca="false">IF(CostLines!$F29="One-time",IF(H$4=CostLines!$N29,CostLines!$J29,0),IF(AND(H$4&gt;=CostLines!$N29,IF(CostLines!$O29="",TRUE(),H$4&lt;CostLines!$N29+CostLines!$O29)),CostLines!$P29,0))</f>
        <v>0</v>
      </c>
      <c r="I53" s="17" t="n">
        <f aca="false">IF(CostLines!$F29="One-time",IF(I$4=CostLines!$N29,CostLines!$J29,0),IF(AND(I$4&gt;=CostLines!$N29,IF(CostLines!$O29="",TRUE(),I$4&lt;CostLines!$N29+CostLines!$O29)),CostLines!$P29,0))</f>
        <v>0</v>
      </c>
      <c r="J53" s="17" t="n">
        <f aca="false">IF(CostLines!$F29="One-time",IF(J$4=CostLines!$N29,CostLines!$J29,0),IF(AND(J$4&gt;=CostLines!$N29,IF(CostLines!$O29="",TRUE(),J$4&lt;CostLines!$N29+CostLines!$O29)),CostLines!$P29,0))</f>
        <v>0</v>
      </c>
      <c r="K53" s="17" t="n">
        <f aca="false">IF(CostLines!$F29="One-time",IF(K$4=CostLines!$N29,CostLines!$J29,0),IF(AND(K$4&gt;=CostLines!$N29,IF(CostLines!$O29="",TRUE(),K$4&lt;CostLines!$N29+CostLines!$O29)),CostLines!$P29,0))</f>
        <v>0</v>
      </c>
      <c r="L53" s="17" t="n">
        <f aca="false">IF(CostLines!$F29="One-time",IF(L$4=CostLines!$N29,CostLines!$J29,0),IF(AND(L$4&gt;=CostLines!$N29,IF(CostLines!$O29="",TRUE(),L$4&lt;CostLines!$N29+CostLines!$O29)),CostLines!$P29,0))</f>
        <v>0</v>
      </c>
      <c r="M53" s="17" t="n">
        <f aca="false">IF(CostLines!$F29="One-time",IF(M$4=CostLines!$N29,CostLines!$J29,0),IF(AND(M$4&gt;=CostLines!$N29,IF(CostLines!$O29="",TRUE(),M$4&lt;CostLines!$N29+CostLines!$O29)),CostLines!$P29,0))</f>
        <v>0</v>
      </c>
      <c r="N53" s="17" t="n">
        <f aca="false">IF(CostLines!$F29="One-time",IF(N$4=CostLines!$N29,CostLines!$J29,0),IF(AND(N$4&gt;=CostLines!$N29,IF(CostLines!$O29="",TRUE(),N$4&lt;CostLines!$N29+CostLines!$O29)),CostLines!$P29,0))</f>
        <v>0</v>
      </c>
      <c r="O53" s="17" t="n">
        <f aca="false">IF(CostLines!$F29="One-time",IF(O$4=CostLines!$N29,CostLines!$J29,0),IF(AND(O$4&gt;=CostLines!$N29,IF(CostLines!$O29="",TRUE(),O$4&lt;CostLines!$N29+CostLines!$O29)),CostLines!$P29,0))</f>
        <v>0</v>
      </c>
      <c r="P53" s="17" t="n">
        <f aca="false">IF(CostLines!$F29="One-time",IF(P$4=CostLines!$N29,CostLines!$J29,0),IF(AND(P$4&gt;=CostLines!$N29,IF(CostLines!$O29="",TRUE(),P$4&lt;CostLines!$N29+CostLines!$O29)),CostLines!$P29,0))</f>
        <v>0</v>
      </c>
      <c r="Q53" s="17" t="n">
        <f aca="false">IF(CostLines!$F29="One-time",IF(Q$4=CostLines!$N29,CostLines!$J29,0),IF(AND(Q$4&gt;=CostLines!$N29,IF(CostLines!$O29="",TRUE(),Q$4&lt;CostLines!$N29+CostLines!$O29)),CostLines!$P29,0))</f>
        <v>0</v>
      </c>
      <c r="R53" s="17" t="n">
        <f aca="false">IF(CostLines!$F29="One-time",IF(R$4=CostLines!$N29,CostLines!$J29,0),IF(AND(R$4&gt;=CostLines!$N29,IF(CostLines!$O29="",TRUE(),R$4&lt;CostLines!$N29+CostLines!$O29)),CostLines!$P29,0))</f>
        <v>0</v>
      </c>
      <c r="S53" s="17" t="n">
        <f aca="false">IF(CostLines!$F29="One-time",IF(S$4=CostLines!$N29,CostLines!$J29,0),IF(AND(S$4&gt;=CostLines!$N29,IF(CostLines!$O29="",TRUE(),S$4&lt;CostLines!$N29+CostLines!$O29)),CostLines!$P29,0))</f>
        <v>0</v>
      </c>
      <c r="T53" s="17" t="n">
        <f aca="false">IF(CostLines!$F29="One-time",IF(T$4=CostLines!$N29,CostLines!$J29,0),IF(AND(T$4&gt;=CostLines!$N29,IF(CostLines!$O29="",TRUE(),T$4&lt;CostLines!$N29+CostLines!$O29)),CostLines!$P29,0))</f>
        <v>0</v>
      </c>
      <c r="U53" s="17" t="n">
        <f aca="false">IF(CostLines!$F29="One-time",IF(U$4=CostLines!$N29,CostLines!$J29,0),IF(AND(U$4&gt;=CostLines!$N29,IF(CostLines!$O29="",TRUE(),U$4&lt;CostLines!$N29+CostLines!$O29)),CostLines!$P29,0))</f>
        <v>0</v>
      </c>
      <c r="V53" s="17" t="n">
        <f aca="false">IF(CostLines!$F29="One-time",IF(V$4=CostLines!$N29,CostLines!$J29,0),IF(AND(V$4&gt;=CostLines!$N29,IF(CostLines!$O29="",TRUE(),V$4&lt;CostLines!$N29+CostLines!$O29)),CostLines!$P29,0))</f>
        <v>0</v>
      </c>
      <c r="W53" s="17" t="n">
        <f aca="false">IF(CostLines!$F29="One-time",IF(W$4=CostLines!$N29,CostLines!$J29,0),IF(AND(W$4&gt;=CostLines!$N29,IF(CostLines!$O29="",TRUE(),W$4&lt;CostLines!$N29+CostLines!$O29)),CostLines!$P29,0))</f>
        <v>0</v>
      </c>
      <c r="X53" s="17" t="n">
        <f aca="false">IF(CostLines!$F29="One-time",IF(X$4=CostLines!$N29,CostLines!$J29,0),IF(AND(X$4&gt;=CostLines!$N29,IF(CostLines!$O29="",TRUE(),X$4&lt;CostLines!$N29+CostLines!$O29)),CostLines!$P29,0))</f>
        <v>0</v>
      </c>
      <c r="Y53" s="17" t="n">
        <f aca="false">IF(CostLines!$F29="One-time",IF(Y$4=CostLines!$N29,CostLines!$J29,0),IF(AND(Y$4&gt;=CostLines!$N29,IF(CostLines!$O29="",TRUE(),Y$4&lt;CostLines!$N29+CostLines!$O29)),CostLines!$P29,0))</f>
        <v>0</v>
      </c>
      <c r="Z53" s="17" t="n">
        <f aca="false">IF(CostLines!$F29="One-time",IF(Z$4=CostLines!$N29,CostLines!$J29,0),IF(AND(Z$4&gt;=CostLines!$N29,IF(CostLines!$O29="",TRUE(),Z$4&lt;CostLines!$N29+CostLines!$O29)),CostLines!$P29,0))</f>
        <v>0</v>
      </c>
      <c r="AA53" s="17" t="n">
        <f aca="false">IF(CostLines!$F29="One-time",IF(AA$4=CostLines!$N29,CostLines!$J29,0),IF(AND(AA$4&gt;=CostLines!$N29,IF(CostLines!$O29="",TRUE(),AA$4&lt;CostLines!$N29+CostLines!$O29)),CostLines!$P29,0))</f>
        <v>0</v>
      </c>
      <c r="AB53" s="17" t="n">
        <f aca="false">IF(CostLines!$F29="One-time",IF(AB$4=CostLines!$N29,CostLines!$J29,0),IF(AND(AB$4&gt;=CostLines!$N29,IF(CostLines!$O29="",TRUE(),AB$4&lt;CostLines!$N29+CostLines!$O29)),CostLines!$P29,0))</f>
        <v>0</v>
      </c>
      <c r="AC53" s="17" t="n">
        <f aca="false">IF(CostLines!$F29="One-time",IF(AC$4=CostLines!$N29,CostLines!$J29,0),IF(AND(AC$4&gt;=CostLines!$N29,IF(CostLines!$O29="",TRUE(),AC$4&lt;CostLines!$N29+CostLines!$O29)),CostLines!$P29,0))</f>
        <v>0</v>
      </c>
      <c r="AD53" s="17" t="n">
        <f aca="false">IF(CostLines!$F29="One-time",IF(AD$4=CostLines!$N29,CostLines!$J29,0),IF(AND(AD$4&gt;=CostLines!$N29,IF(CostLines!$O29="",TRUE(),AD$4&lt;CostLines!$N29+CostLines!$O29)),CostLines!$P29,0))</f>
        <v>0</v>
      </c>
      <c r="AE53" s="17" t="n">
        <f aca="false">IF(CostLines!$F29="One-time",IF(AE$4=CostLines!$N29,CostLines!$J29,0),IF(AND(AE$4&gt;=CostLines!$N29,IF(CostLines!$O29="",TRUE(),AE$4&lt;CostLines!$N29+CostLines!$O29)),CostLines!$P29,0))</f>
        <v>0</v>
      </c>
      <c r="AF53" s="17" t="n">
        <f aca="false">IF(CostLines!$F29="One-time",IF(AF$4=CostLines!$N29,CostLines!$J29,0),IF(AND(AF$4&gt;=CostLines!$N29,IF(CostLines!$O29="",TRUE(),AF$4&lt;CostLines!$N29+CostLines!$O29)),CostLines!$P29,0))</f>
        <v>0</v>
      </c>
      <c r="AG53" s="17" t="n">
        <f aca="false">IF(CostLines!$F29="One-time",IF(AG$4=CostLines!$N29,CostLines!$J29,0),IF(AND(AG$4&gt;=CostLines!$N29,IF(CostLines!$O29="",TRUE(),AG$4&lt;CostLines!$N29+CostLines!$O29)),CostLines!$P29,0))</f>
        <v>0</v>
      </c>
      <c r="AH53" s="17" t="n">
        <f aca="false">IF(CostLines!$F29="One-time",IF(AH$4=CostLines!$N29,CostLines!$J29,0),IF(AND(AH$4&gt;=CostLines!$N29,IF(CostLines!$O29="",TRUE(),AH$4&lt;CostLines!$N29+CostLines!$O29)),CostLines!$P29,0))</f>
        <v>0</v>
      </c>
      <c r="AI53" s="17" t="n">
        <f aca="false">IF(CostLines!$F29="One-time",IF(AI$4=CostLines!$N29,CostLines!$J29,0),IF(AND(AI$4&gt;=CostLines!$N29,IF(CostLines!$O29="",TRUE(),AI$4&lt;CostLines!$N29+CostLines!$O29)),CostLines!$P29,0))</f>
        <v>0</v>
      </c>
      <c r="AJ53" s="17" t="n">
        <f aca="false">IF(CostLines!$F29="One-time",IF(AJ$4=CostLines!$N29,CostLines!$J29,0),IF(AND(AJ$4&gt;=CostLines!$N29,IF(CostLines!$O29="",TRUE(),AJ$4&lt;CostLines!$N29+CostLines!$O29)),CostLines!$P29,0))</f>
        <v>0</v>
      </c>
      <c r="AK53" s="17" t="n">
        <f aca="false">IF(CostLines!$F29="One-time",IF(AK$4=CostLines!$N29,CostLines!$J29,0),IF(AND(AK$4&gt;=CostLines!$N29,IF(CostLines!$O29="",TRUE(),AK$4&lt;CostLines!$N29+CostLines!$O29)),CostLines!$P29,0))</f>
        <v>0</v>
      </c>
      <c r="AL53" s="17" t="n">
        <f aca="false">IF(CostLines!$F29="One-time",IF(AL$4=CostLines!$N29,CostLines!$J29,0),IF(AND(AL$4&gt;=CostLines!$N29,IF(CostLines!$O29="",TRUE(),AL$4&lt;CostLines!$N29+CostLines!$O29)),CostLines!$P29,0))</f>
        <v>0</v>
      </c>
      <c r="AM53" s="17" t="n">
        <f aca="false">IF(CostLines!$F29="One-time",IF(AM$4=CostLines!$N29,CostLines!$J29,0),IF(AND(AM$4&gt;=CostLines!$N29,IF(CostLines!$O29="",TRUE(),AM$4&lt;CostLines!$N29+CostLines!$O29)),CostLines!$P29,0))</f>
        <v>0</v>
      </c>
      <c r="AN53" s="17" t="n">
        <f aca="false">IF(CostLines!$F29="One-time",IF(AN$4=CostLines!$N29,CostLines!$J29,0),IF(AND(AN$4&gt;=CostLines!$N29,IF(CostLines!$O29="",TRUE(),AN$4&lt;CostLines!$N29+CostLines!$O29)),CostLines!$P29,0))</f>
        <v>0</v>
      </c>
      <c r="AO53" s="17" t="n">
        <f aca="false">IF(CostLines!$F29="One-time",IF(AO$4=CostLines!$N29,CostLines!$J29,0),IF(AND(AO$4&gt;=CostLines!$N29,IF(CostLines!$O29="",TRUE(),AO$4&lt;CostLines!$N29+CostLines!$O29)),CostLines!$P29,0))</f>
        <v>0</v>
      </c>
    </row>
    <row r="54" customFormat="false" ht="15" hidden="false" customHeight="false" outlineLevel="0" collapsed="false">
      <c r="A54" s="24" t="str">
        <f aca="false">CostLines!B30</f>
        <v>Intercompany services to/from GovThink Institute &amp; pinnacle.blog (arms-length)</v>
      </c>
      <c r="B54" s="24" t="str">
        <f aca="false">CostLines!C30</f>
        <v>EnergyWave, Inc.</v>
      </c>
      <c r="C54" s="24" t="str">
        <f aca="false">CostLines!D30</f>
        <v>Intercompany</v>
      </c>
      <c r="D54" s="24" t="str">
        <f aca="false">CostLines!E30</f>
        <v>Affiliates</v>
      </c>
      <c r="E54" s="30" t="n">
        <f aca="false">SUM(F54:AO54)</f>
        <v>0</v>
      </c>
      <c r="F54" s="17" t="n">
        <f aca="false">IF(CostLines!$F30="One-time",IF(F$4=CostLines!$N30,CostLines!$J30,0),IF(AND(F$4&gt;=CostLines!$N30,IF(CostLines!$O30="",TRUE(),F$4&lt;CostLines!$N30+CostLines!$O30)),CostLines!$P30,0))</f>
        <v>0</v>
      </c>
      <c r="G54" s="17" t="n">
        <f aca="false">IF(CostLines!$F30="One-time",IF(G$4=CostLines!$N30,CostLines!$J30,0),IF(AND(G$4&gt;=CostLines!$N30,IF(CostLines!$O30="",TRUE(),G$4&lt;CostLines!$N30+CostLines!$O30)),CostLines!$P30,0))</f>
        <v>0</v>
      </c>
      <c r="H54" s="17" t="n">
        <f aca="false">IF(CostLines!$F30="One-time",IF(H$4=CostLines!$N30,CostLines!$J30,0),IF(AND(H$4&gt;=CostLines!$N30,IF(CostLines!$O30="",TRUE(),H$4&lt;CostLines!$N30+CostLines!$O30)),CostLines!$P30,0))</f>
        <v>0</v>
      </c>
      <c r="I54" s="17" t="n">
        <f aca="false">IF(CostLines!$F30="One-time",IF(I$4=CostLines!$N30,CostLines!$J30,0),IF(AND(I$4&gt;=CostLines!$N30,IF(CostLines!$O30="",TRUE(),I$4&lt;CostLines!$N30+CostLines!$O30)),CostLines!$P30,0))</f>
        <v>0</v>
      </c>
      <c r="J54" s="17" t="n">
        <f aca="false">IF(CostLines!$F30="One-time",IF(J$4=CostLines!$N30,CostLines!$J30,0),IF(AND(J$4&gt;=CostLines!$N30,IF(CostLines!$O30="",TRUE(),J$4&lt;CostLines!$N30+CostLines!$O30)),CostLines!$P30,0))</f>
        <v>0</v>
      </c>
      <c r="K54" s="17" t="n">
        <f aca="false">IF(CostLines!$F30="One-time",IF(K$4=CostLines!$N30,CostLines!$J30,0),IF(AND(K$4&gt;=CostLines!$N30,IF(CostLines!$O30="",TRUE(),K$4&lt;CostLines!$N30+CostLines!$O30)),CostLines!$P30,0))</f>
        <v>0</v>
      </c>
      <c r="L54" s="17" t="n">
        <f aca="false">IF(CostLines!$F30="One-time",IF(L$4=CostLines!$N30,CostLines!$J30,0),IF(AND(L$4&gt;=CostLines!$N30,IF(CostLines!$O30="",TRUE(),L$4&lt;CostLines!$N30+CostLines!$O30)),CostLines!$P30,0))</f>
        <v>0</v>
      </c>
      <c r="M54" s="17" t="n">
        <f aca="false">IF(CostLines!$F30="One-time",IF(M$4=CostLines!$N30,CostLines!$J30,0),IF(AND(M$4&gt;=CostLines!$N30,IF(CostLines!$O30="",TRUE(),M$4&lt;CostLines!$N30+CostLines!$O30)),CostLines!$P30,0))</f>
        <v>0</v>
      </c>
      <c r="N54" s="17" t="n">
        <f aca="false">IF(CostLines!$F30="One-time",IF(N$4=CostLines!$N30,CostLines!$J30,0),IF(AND(N$4&gt;=CostLines!$N30,IF(CostLines!$O30="",TRUE(),N$4&lt;CostLines!$N30+CostLines!$O30)),CostLines!$P30,0))</f>
        <v>0</v>
      </c>
      <c r="O54" s="17" t="n">
        <f aca="false">IF(CostLines!$F30="One-time",IF(O$4=CostLines!$N30,CostLines!$J30,0),IF(AND(O$4&gt;=CostLines!$N30,IF(CostLines!$O30="",TRUE(),O$4&lt;CostLines!$N30+CostLines!$O30)),CostLines!$P30,0))</f>
        <v>0</v>
      </c>
      <c r="P54" s="17" t="n">
        <f aca="false">IF(CostLines!$F30="One-time",IF(P$4=CostLines!$N30,CostLines!$J30,0),IF(AND(P$4&gt;=CostLines!$N30,IF(CostLines!$O30="",TRUE(),P$4&lt;CostLines!$N30+CostLines!$O30)),CostLines!$P30,0))</f>
        <v>0</v>
      </c>
      <c r="Q54" s="17" t="n">
        <f aca="false">IF(CostLines!$F30="One-time",IF(Q$4=CostLines!$N30,CostLines!$J30,0),IF(AND(Q$4&gt;=CostLines!$N30,IF(CostLines!$O30="",TRUE(),Q$4&lt;CostLines!$N30+CostLines!$O30)),CostLines!$P30,0))</f>
        <v>0</v>
      </c>
      <c r="R54" s="17" t="n">
        <f aca="false">IF(CostLines!$F30="One-time",IF(R$4=CostLines!$N30,CostLines!$J30,0),IF(AND(R$4&gt;=CostLines!$N30,IF(CostLines!$O30="",TRUE(),R$4&lt;CostLines!$N30+CostLines!$O30)),CostLines!$P30,0))</f>
        <v>0</v>
      </c>
      <c r="S54" s="17" t="n">
        <f aca="false">IF(CostLines!$F30="One-time",IF(S$4=CostLines!$N30,CostLines!$J30,0),IF(AND(S$4&gt;=CostLines!$N30,IF(CostLines!$O30="",TRUE(),S$4&lt;CostLines!$N30+CostLines!$O30)),CostLines!$P30,0))</f>
        <v>0</v>
      </c>
      <c r="T54" s="17" t="n">
        <f aca="false">IF(CostLines!$F30="One-time",IF(T$4=CostLines!$N30,CostLines!$J30,0),IF(AND(T$4&gt;=CostLines!$N30,IF(CostLines!$O30="",TRUE(),T$4&lt;CostLines!$N30+CostLines!$O30)),CostLines!$P30,0))</f>
        <v>0</v>
      </c>
      <c r="U54" s="17" t="n">
        <f aca="false">IF(CostLines!$F30="One-time",IF(U$4=CostLines!$N30,CostLines!$J30,0),IF(AND(U$4&gt;=CostLines!$N30,IF(CostLines!$O30="",TRUE(),U$4&lt;CostLines!$N30+CostLines!$O30)),CostLines!$P30,0))</f>
        <v>0</v>
      </c>
      <c r="V54" s="17" t="n">
        <f aca="false">IF(CostLines!$F30="One-time",IF(V$4=CostLines!$N30,CostLines!$J30,0),IF(AND(V$4&gt;=CostLines!$N30,IF(CostLines!$O30="",TRUE(),V$4&lt;CostLines!$N30+CostLines!$O30)),CostLines!$P30,0))</f>
        <v>0</v>
      </c>
      <c r="W54" s="17" t="n">
        <f aca="false">IF(CostLines!$F30="One-time",IF(W$4=CostLines!$N30,CostLines!$J30,0),IF(AND(W$4&gt;=CostLines!$N30,IF(CostLines!$O30="",TRUE(),W$4&lt;CostLines!$N30+CostLines!$O30)),CostLines!$P30,0))</f>
        <v>0</v>
      </c>
      <c r="X54" s="17" t="n">
        <f aca="false">IF(CostLines!$F30="One-time",IF(X$4=CostLines!$N30,CostLines!$J30,0),IF(AND(X$4&gt;=CostLines!$N30,IF(CostLines!$O30="",TRUE(),X$4&lt;CostLines!$N30+CostLines!$O30)),CostLines!$P30,0))</f>
        <v>0</v>
      </c>
      <c r="Y54" s="17" t="n">
        <f aca="false">IF(CostLines!$F30="One-time",IF(Y$4=CostLines!$N30,CostLines!$J30,0),IF(AND(Y$4&gt;=CostLines!$N30,IF(CostLines!$O30="",TRUE(),Y$4&lt;CostLines!$N30+CostLines!$O30)),CostLines!$P30,0))</f>
        <v>0</v>
      </c>
      <c r="Z54" s="17" t="n">
        <f aca="false">IF(CostLines!$F30="One-time",IF(Z$4=CostLines!$N30,CostLines!$J30,0),IF(AND(Z$4&gt;=CostLines!$N30,IF(CostLines!$O30="",TRUE(),Z$4&lt;CostLines!$N30+CostLines!$O30)),CostLines!$P30,0))</f>
        <v>0</v>
      </c>
      <c r="AA54" s="17" t="n">
        <f aca="false">IF(CostLines!$F30="One-time",IF(AA$4=CostLines!$N30,CostLines!$J30,0),IF(AND(AA$4&gt;=CostLines!$N30,IF(CostLines!$O30="",TRUE(),AA$4&lt;CostLines!$N30+CostLines!$O30)),CostLines!$P30,0))</f>
        <v>0</v>
      </c>
      <c r="AB54" s="17" t="n">
        <f aca="false">IF(CostLines!$F30="One-time",IF(AB$4=CostLines!$N30,CostLines!$J30,0),IF(AND(AB$4&gt;=CostLines!$N30,IF(CostLines!$O30="",TRUE(),AB$4&lt;CostLines!$N30+CostLines!$O30)),CostLines!$P30,0))</f>
        <v>0</v>
      </c>
      <c r="AC54" s="17" t="n">
        <f aca="false">IF(CostLines!$F30="One-time",IF(AC$4=CostLines!$N30,CostLines!$J30,0),IF(AND(AC$4&gt;=CostLines!$N30,IF(CostLines!$O30="",TRUE(),AC$4&lt;CostLines!$N30+CostLines!$O30)),CostLines!$P30,0))</f>
        <v>0</v>
      </c>
      <c r="AD54" s="17" t="n">
        <f aca="false">IF(CostLines!$F30="One-time",IF(AD$4=CostLines!$N30,CostLines!$J30,0),IF(AND(AD$4&gt;=CostLines!$N30,IF(CostLines!$O30="",TRUE(),AD$4&lt;CostLines!$N30+CostLines!$O30)),CostLines!$P30,0))</f>
        <v>0</v>
      </c>
      <c r="AE54" s="17" t="n">
        <f aca="false">IF(CostLines!$F30="One-time",IF(AE$4=CostLines!$N30,CostLines!$J30,0),IF(AND(AE$4&gt;=CostLines!$N30,IF(CostLines!$O30="",TRUE(),AE$4&lt;CostLines!$N30+CostLines!$O30)),CostLines!$P30,0))</f>
        <v>0</v>
      </c>
      <c r="AF54" s="17" t="n">
        <f aca="false">IF(CostLines!$F30="One-time",IF(AF$4=CostLines!$N30,CostLines!$J30,0),IF(AND(AF$4&gt;=CostLines!$N30,IF(CostLines!$O30="",TRUE(),AF$4&lt;CostLines!$N30+CostLines!$O30)),CostLines!$P30,0))</f>
        <v>0</v>
      </c>
      <c r="AG54" s="17" t="n">
        <f aca="false">IF(CostLines!$F30="One-time",IF(AG$4=CostLines!$N30,CostLines!$J30,0),IF(AND(AG$4&gt;=CostLines!$N30,IF(CostLines!$O30="",TRUE(),AG$4&lt;CostLines!$N30+CostLines!$O30)),CostLines!$P30,0))</f>
        <v>0</v>
      </c>
      <c r="AH54" s="17" t="n">
        <f aca="false">IF(CostLines!$F30="One-time",IF(AH$4=CostLines!$N30,CostLines!$J30,0),IF(AND(AH$4&gt;=CostLines!$N30,IF(CostLines!$O30="",TRUE(),AH$4&lt;CostLines!$N30+CostLines!$O30)),CostLines!$P30,0))</f>
        <v>0</v>
      </c>
      <c r="AI54" s="17" t="n">
        <f aca="false">IF(CostLines!$F30="One-time",IF(AI$4=CostLines!$N30,CostLines!$J30,0),IF(AND(AI$4&gt;=CostLines!$N30,IF(CostLines!$O30="",TRUE(),AI$4&lt;CostLines!$N30+CostLines!$O30)),CostLines!$P30,0))</f>
        <v>0</v>
      </c>
      <c r="AJ54" s="17" t="n">
        <f aca="false">IF(CostLines!$F30="One-time",IF(AJ$4=CostLines!$N30,CostLines!$J30,0),IF(AND(AJ$4&gt;=CostLines!$N30,IF(CostLines!$O30="",TRUE(),AJ$4&lt;CostLines!$N30+CostLines!$O30)),CostLines!$P30,0))</f>
        <v>0</v>
      </c>
      <c r="AK54" s="17" t="n">
        <f aca="false">IF(CostLines!$F30="One-time",IF(AK$4=CostLines!$N30,CostLines!$J30,0),IF(AND(AK$4&gt;=CostLines!$N30,IF(CostLines!$O30="",TRUE(),AK$4&lt;CostLines!$N30+CostLines!$O30)),CostLines!$P30,0))</f>
        <v>0</v>
      </c>
      <c r="AL54" s="17" t="n">
        <f aca="false">IF(CostLines!$F30="One-time",IF(AL$4=CostLines!$N30,CostLines!$J30,0),IF(AND(AL$4&gt;=CostLines!$N30,IF(CostLines!$O30="",TRUE(),AL$4&lt;CostLines!$N30+CostLines!$O30)),CostLines!$P30,0))</f>
        <v>0</v>
      </c>
      <c r="AM54" s="17" t="n">
        <f aca="false">IF(CostLines!$F30="One-time",IF(AM$4=CostLines!$N30,CostLines!$J30,0),IF(AND(AM$4&gt;=CostLines!$N30,IF(CostLines!$O30="",TRUE(),AM$4&lt;CostLines!$N30+CostLines!$O30)),CostLines!$P30,0))</f>
        <v>0</v>
      </c>
      <c r="AN54" s="17" t="n">
        <f aca="false">IF(CostLines!$F30="One-time",IF(AN$4=CostLines!$N30,CostLines!$J30,0),IF(AND(AN$4&gt;=CostLines!$N30,IF(CostLines!$O30="",TRUE(),AN$4&lt;CostLines!$N30+CostLines!$O30)),CostLines!$P30,0))</f>
        <v>0</v>
      </c>
      <c r="AO54" s="17" t="n">
        <f aca="false">IF(CostLines!$F30="One-time",IF(AO$4=CostLines!$N30,CostLines!$J30,0),IF(AND(AO$4&gt;=CostLines!$N30,IF(CostLines!$O30="",TRUE(),AO$4&lt;CostLines!$N30+CostLines!$O30)),CostLines!$P30,0))</f>
        <v>0</v>
      </c>
    </row>
    <row r="56" customFormat="false" ht="15" hidden="false" customHeight="false" outlineLevel="0" collapsed="false">
      <c r="A56" s="28" t="s">
        <v>286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customFormat="false" ht="15" hidden="false" customHeight="false" outlineLevel="0" collapsed="false">
      <c r="A57" s="23" t="s">
        <v>283</v>
      </c>
      <c r="E57" s="30" t="n">
        <f aca="false">SUM(F57:AO57)</f>
        <v>6905508.33333333</v>
      </c>
      <c r="F57" s="17" t="n">
        <f aca="false">SUMIF($C$8:$C$54,$A57,F$8:F$54)</f>
        <v>55241.6666666667</v>
      </c>
      <c r="G57" s="17" t="n">
        <f aca="false">SUMIF($C$8:$C$54,$A57,G$8:G$54)</f>
        <v>161583.333333333</v>
      </c>
      <c r="H57" s="17" t="n">
        <f aca="false">SUMIF($C$8:$C$54,$A57,H$8:H$54)</f>
        <v>197333.333333333</v>
      </c>
      <c r="I57" s="17" t="n">
        <f aca="false">SUMIF($C$8:$C$54,$A57,I$8:I$54)</f>
        <v>219950</v>
      </c>
      <c r="J57" s="17" t="n">
        <f aca="false">SUMIF($C$8:$C$54,$A57,J$8:J$54)</f>
        <v>220200</v>
      </c>
      <c r="K57" s="17" t="n">
        <f aca="false">SUMIF($C$8:$C$54,$A57,K$8:K$54)</f>
        <v>195200</v>
      </c>
      <c r="L57" s="17" t="n">
        <f aca="false">SUMIF($C$8:$C$54,$A57,L$8:L$54)</f>
        <v>195200</v>
      </c>
      <c r="M57" s="17" t="n">
        <f aca="false">SUMIF($C$8:$C$54,$A57,M$8:M$54)</f>
        <v>195200</v>
      </c>
      <c r="N57" s="17" t="n">
        <f aca="false">SUMIF($C$8:$C$54,$A57,N$8:N$54)</f>
        <v>195200</v>
      </c>
      <c r="O57" s="17" t="n">
        <f aca="false">SUMIF($C$8:$C$54,$A57,O$8:O$54)</f>
        <v>195200</v>
      </c>
      <c r="P57" s="17" t="n">
        <f aca="false">SUMIF($C$8:$C$54,$A57,P$8:P$54)</f>
        <v>195200</v>
      </c>
      <c r="Q57" s="17" t="n">
        <f aca="false">SUMIF($C$8:$C$54,$A57,Q$8:Q$54)</f>
        <v>195200</v>
      </c>
      <c r="R57" s="17" t="n">
        <f aca="false">SUMIF($C$8:$C$54,$A57,R$8:R$54)</f>
        <v>195200</v>
      </c>
      <c r="S57" s="17" t="n">
        <f aca="false">SUMIF($C$8:$C$54,$A57,S$8:S$54)</f>
        <v>195200</v>
      </c>
      <c r="T57" s="17" t="n">
        <f aca="false">SUMIF($C$8:$C$54,$A57,T$8:T$54)</f>
        <v>195200</v>
      </c>
      <c r="U57" s="17" t="n">
        <f aca="false">SUMIF($C$8:$C$54,$A57,U$8:U$54)</f>
        <v>195200</v>
      </c>
      <c r="V57" s="17" t="n">
        <f aca="false">SUMIF($C$8:$C$54,$A57,V$8:V$54)</f>
        <v>195200</v>
      </c>
      <c r="W57" s="17" t="n">
        <f aca="false">SUMIF($C$8:$C$54,$A57,W$8:W$54)</f>
        <v>195200</v>
      </c>
      <c r="X57" s="17" t="n">
        <f aca="false">SUMIF($C$8:$C$54,$A57,X$8:X$54)</f>
        <v>195200</v>
      </c>
      <c r="Y57" s="17" t="n">
        <f aca="false">SUMIF($C$8:$C$54,$A57,Y$8:Y$54)</f>
        <v>195200</v>
      </c>
      <c r="Z57" s="17" t="n">
        <f aca="false">SUMIF($C$8:$C$54,$A57,Z$8:Z$54)</f>
        <v>195200</v>
      </c>
      <c r="AA57" s="17" t="n">
        <f aca="false">SUMIF($C$8:$C$54,$A57,AA$8:AA$54)</f>
        <v>195200</v>
      </c>
      <c r="AB57" s="17" t="n">
        <f aca="false">SUMIF($C$8:$C$54,$A57,AB$8:AB$54)</f>
        <v>195200</v>
      </c>
      <c r="AC57" s="17" t="n">
        <f aca="false">SUMIF($C$8:$C$54,$A57,AC$8:AC$54)</f>
        <v>195200</v>
      </c>
      <c r="AD57" s="17" t="n">
        <f aca="false">SUMIF($C$8:$C$54,$A57,AD$8:AD$54)</f>
        <v>195200</v>
      </c>
      <c r="AE57" s="17" t="n">
        <f aca="false">SUMIF($C$8:$C$54,$A57,AE$8:AE$54)</f>
        <v>195200</v>
      </c>
      <c r="AF57" s="17" t="n">
        <f aca="false">SUMIF($C$8:$C$54,$A57,AF$8:AF$54)</f>
        <v>195200</v>
      </c>
      <c r="AG57" s="17" t="n">
        <f aca="false">SUMIF($C$8:$C$54,$A57,AG$8:AG$54)</f>
        <v>195200</v>
      </c>
      <c r="AH57" s="17" t="n">
        <f aca="false">SUMIF($C$8:$C$54,$A57,AH$8:AH$54)</f>
        <v>195200</v>
      </c>
      <c r="AI57" s="17" t="n">
        <f aca="false">SUMIF($C$8:$C$54,$A57,AI$8:AI$54)</f>
        <v>195200</v>
      </c>
      <c r="AJ57" s="17" t="n">
        <f aca="false">SUMIF($C$8:$C$54,$A57,AJ$8:AJ$54)</f>
        <v>195200</v>
      </c>
      <c r="AK57" s="17" t="n">
        <f aca="false">SUMIF($C$8:$C$54,$A57,AK$8:AK$54)</f>
        <v>195200</v>
      </c>
      <c r="AL57" s="17" t="n">
        <f aca="false">SUMIF($C$8:$C$54,$A57,AL$8:AL$54)</f>
        <v>195200</v>
      </c>
      <c r="AM57" s="17" t="n">
        <f aca="false">SUMIF($C$8:$C$54,$A57,AM$8:AM$54)</f>
        <v>195200</v>
      </c>
      <c r="AN57" s="17" t="n">
        <f aca="false">SUMIF($C$8:$C$54,$A57,AN$8:AN$54)</f>
        <v>195200</v>
      </c>
      <c r="AO57" s="17" t="n">
        <f aca="false">SUMIF($C$8:$C$54,$A57,AO$8:AO$54)</f>
        <v>195200</v>
      </c>
    </row>
    <row r="58" customFormat="false" ht="15" hidden="false" customHeight="false" outlineLevel="0" collapsed="false">
      <c r="A58" s="23" t="s">
        <v>287</v>
      </c>
      <c r="E58" s="30" t="n">
        <f aca="false">SUM(F58:AO58)</f>
        <v>3546666.66666667</v>
      </c>
      <c r="F58" s="17" t="n">
        <f aca="false">SUMIF($C$8:$C$54,$A58,F$8:F$54)</f>
        <v>59166.6666666667</v>
      </c>
      <c r="G58" s="17" t="n">
        <f aca="false">SUMIF($C$8:$C$54,$A58,G$8:G$54)</f>
        <v>59166.6666666667</v>
      </c>
      <c r="H58" s="17" t="n">
        <f aca="false">SUMIF($C$8:$C$54,$A58,H$8:H$54)</f>
        <v>100833.333333333</v>
      </c>
      <c r="I58" s="17" t="n">
        <f aca="false">SUMIF($C$8:$C$54,$A58,I$8:I$54)</f>
        <v>100833.333333333</v>
      </c>
      <c r="J58" s="17" t="n">
        <f aca="false">SUMIF($C$8:$C$54,$A58,J$8:J$54)</f>
        <v>100833.333333333</v>
      </c>
      <c r="K58" s="17" t="n">
        <f aca="false">SUMIF($C$8:$C$54,$A58,K$8:K$54)</f>
        <v>100833.333333333</v>
      </c>
      <c r="L58" s="17" t="n">
        <f aca="false">SUMIF($C$8:$C$54,$A58,L$8:L$54)</f>
        <v>100833.333333333</v>
      </c>
      <c r="M58" s="17" t="n">
        <f aca="false">SUMIF($C$8:$C$54,$A58,M$8:M$54)</f>
        <v>100833.333333333</v>
      </c>
      <c r="N58" s="17" t="n">
        <f aca="false">SUMIF($C$8:$C$54,$A58,N$8:N$54)</f>
        <v>100833.333333333</v>
      </c>
      <c r="O58" s="17" t="n">
        <f aca="false">SUMIF($C$8:$C$54,$A58,O$8:O$54)</f>
        <v>100833.333333333</v>
      </c>
      <c r="P58" s="17" t="n">
        <f aca="false">SUMIF($C$8:$C$54,$A58,P$8:P$54)</f>
        <v>100833.333333333</v>
      </c>
      <c r="Q58" s="17" t="n">
        <f aca="false">SUMIF($C$8:$C$54,$A58,Q$8:Q$54)</f>
        <v>100833.333333333</v>
      </c>
      <c r="R58" s="17" t="n">
        <f aca="false">SUMIF($C$8:$C$54,$A58,R$8:R$54)</f>
        <v>100833.333333333</v>
      </c>
      <c r="S58" s="17" t="n">
        <f aca="false">SUMIF($C$8:$C$54,$A58,S$8:S$54)</f>
        <v>100833.333333333</v>
      </c>
      <c r="T58" s="17" t="n">
        <f aca="false">SUMIF($C$8:$C$54,$A58,T$8:T$54)</f>
        <v>100833.333333333</v>
      </c>
      <c r="U58" s="17" t="n">
        <f aca="false">SUMIF($C$8:$C$54,$A58,U$8:U$54)</f>
        <v>100833.333333333</v>
      </c>
      <c r="V58" s="17" t="n">
        <f aca="false">SUMIF($C$8:$C$54,$A58,V$8:V$54)</f>
        <v>100833.333333333</v>
      </c>
      <c r="W58" s="17" t="n">
        <f aca="false">SUMIF($C$8:$C$54,$A58,W$8:W$54)</f>
        <v>100833.333333333</v>
      </c>
      <c r="X58" s="17" t="n">
        <f aca="false">SUMIF($C$8:$C$54,$A58,X$8:X$54)</f>
        <v>100833.333333333</v>
      </c>
      <c r="Y58" s="17" t="n">
        <f aca="false">SUMIF($C$8:$C$54,$A58,Y$8:Y$54)</f>
        <v>100833.333333333</v>
      </c>
      <c r="Z58" s="17" t="n">
        <f aca="false">SUMIF($C$8:$C$54,$A58,Z$8:Z$54)</f>
        <v>100833.333333333</v>
      </c>
      <c r="AA58" s="17" t="n">
        <f aca="false">SUMIF($C$8:$C$54,$A58,AA$8:AA$54)</f>
        <v>100833.333333333</v>
      </c>
      <c r="AB58" s="17" t="n">
        <f aca="false">SUMIF($C$8:$C$54,$A58,AB$8:AB$54)</f>
        <v>100833.333333333</v>
      </c>
      <c r="AC58" s="17" t="n">
        <f aca="false">SUMIF($C$8:$C$54,$A58,AC$8:AC$54)</f>
        <v>100833.333333333</v>
      </c>
      <c r="AD58" s="17" t="n">
        <f aca="false">SUMIF($C$8:$C$54,$A58,AD$8:AD$54)</f>
        <v>100833.333333333</v>
      </c>
      <c r="AE58" s="17" t="n">
        <f aca="false">SUMIF($C$8:$C$54,$A58,AE$8:AE$54)</f>
        <v>100833.333333333</v>
      </c>
      <c r="AF58" s="17" t="n">
        <f aca="false">SUMIF($C$8:$C$54,$A58,AF$8:AF$54)</f>
        <v>100833.333333333</v>
      </c>
      <c r="AG58" s="17" t="n">
        <f aca="false">SUMIF($C$8:$C$54,$A58,AG$8:AG$54)</f>
        <v>100833.333333333</v>
      </c>
      <c r="AH58" s="17" t="n">
        <f aca="false">SUMIF($C$8:$C$54,$A58,AH$8:AH$54)</f>
        <v>100833.333333333</v>
      </c>
      <c r="AI58" s="17" t="n">
        <f aca="false">SUMIF($C$8:$C$54,$A58,AI$8:AI$54)</f>
        <v>100833.333333333</v>
      </c>
      <c r="AJ58" s="17" t="n">
        <f aca="false">SUMIF($C$8:$C$54,$A58,AJ$8:AJ$54)</f>
        <v>100833.333333333</v>
      </c>
      <c r="AK58" s="17" t="n">
        <f aca="false">SUMIF($C$8:$C$54,$A58,AK$8:AK$54)</f>
        <v>100833.333333333</v>
      </c>
      <c r="AL58" s="17" t="n">
        <f aca="false">SUMIF($C$8:$C$54,$A58,AL$8:AL$54)</f>
        <v>100833.333333333</v>
      </c>
      <c r="AM58" s="17" t="n">
        <f aca="false">SUMIF($C$8:$C$54,$A58,AM$8:AM$54)</f>
        <v>100833.333333333</v>
      </c>
      <c r="AN58" s="17" t="n">
        <f aca="false">SUMIF($C$8:$C$54,$A58,AN$8:AN$54)</f>
        <v>100833.333333333</v>
      </c>
      <c r="AO58" s="17" t="n">
        <f aca="false">SUMIF($C$8:$C$54,$A58,AO$8:AO$54)</f>
        <v>100833.333333333</v>
      </c>
    </row>
    <row r="59" customFormat="false" ht="15" hidden="false" customHeight="false" outlineLevel="0" collapsed="false">
      <c r="A59" s="23" t="s">
        <v>172</v>
      </c>
      <c r="E59" s="30" t="n">
        <f aca="false">SUM(F59:AO59)</f>
        <v>1272500</v>
      </c>
      <c r="F59" s="17" t="n">
        <f aca="false">SUMIF($C$8:$C$54,$A59,F$8:F$54)</f>
        <v>0</v>
      </c>
      <c r="G59" s="17" t="n">
        <f aca="false">SUMIF($C$8:$C$54,$A59,G$8:G$54)</f>
        <v>371500</v>
      </c>
      <c r="H59" s="17" t="n">
        <f aca="false">SUMIF($C$8:$C$54,$A59,H$8:H$54)</f>
        <v>26500</v>
      </c>
      <c r="I59" s="17" t="n">
        <f aca="false">SUMIF($C$8:$C$54,$A59,I$8:I$54)</f>
        <v>26500</v>
      </c>
      <c r="J59" s="17" t="n">
        <f aca="false">SUMIF($C$8:$C$54,$A59,J$8:J$54)</f>
        <v>26500</v>
      </c>
      <c r="K59" s="17" t="n">
        <f aca="false">SUMIF($C$8:$C$54,$A59,K$8:K$54)</f>
        <v>26500</v>
      </c>
      <c r="L59" s="17" t="n">
        <f aca="false">SUMIF($C$8:$C$54,$A59,L$8:L$54)</f>
        <v>26500</v>
      </c>
      <c r="M59" s="17" t="n">
        <f aca="false">SUMIF($C$8:$C$54,$A59,M$8:M$54)</f>
        <v>26500</v>
      </c>
      <c r="N59" s="17" t="n">
        <f aca="false">SUMIF($C$8:$C$54,$A59,N$8:N$54)</f>
        <v>26500</v>
      </c>
      <c r="O59" s="17" t="n">
        <f aca="false">SUMIF($C$8:$C$54,$A59,O$8:O$54)</f>
        <v>26500</v>
      </c>
      <c r="P59" s="17" t="n">
        <f aca="false">SUMIF($C$8:$C$54,$A59,P$8:P$54)</f>
        <v>26500</v>
      </c>
      <c r="Q59" s="17" t="n">
        <f aca="false">SUMIF($C$8:$C$54,$A59,Q$8:Q$54)</f>
        <v>26500</v>
      </c>
      <c r="R59" s="17" t="n">
        <f aca="false">SUMIF($C$8:$C$54,$A59,R$8:R$54)</f>
        <v>26500</v>
      </c>
      <c r="S59" s="17" t="n">
        <f aca="false">SUMIF($C$8:$C$54,$A59,S$8:S$54)</f>
        <v>26500</v>
      </c>
      <c r="T59" s="17" t="n">
        <f aca="false">SUMIF($C$8:$C$54,$A59,T$8:T$54)</f>
        <v>26500</v>
      </c>
      <c r="U59" s="17" t="n">
        <f aca="false">SUMIF($C$8:$C$54,$A59,U$8:U$54)</f>
        <v>26500</v>
      </c>
      <c r="V59" s="17" t="n">
        <f aca="false">SUMIF($C$8:$C$54,$A59,V$8:V$54)</f>
        <v>26500</v>
      </c>
      <c r="W59" s="17" t="n">
        <f aca="false">SUMIF($C$8:$C$54,$A59,W$8:W$54)</f>
        <v>26500</v>
      </c>
      <c r="X59" s="17" t="n">
        <f aca="false">SUMIF($C$8:$C$54,$A59,X$8:X$54)</f>
        <v>26500</v>
      </c>
      <c r="Y59" s="17" t="n">
        <f aca="false">SUMIF($C$8:$C$54,$A59,Y$8:Y$54)</f>
        <v>26500</v>
      </c>
      <c r="Z59" s="17" t="n">
        <f aca="false">SUMIF($C$8:$C$54,$A59,Z$8:Z$54)</f>
        <v>26500</v>
      </c>
      <c r="AA59" s="17" t="n">
        <f aca="false">SUMIF($C$8:$C$54,$A59,AA$8:AA$54)</f>
        <v>26500</v>
      </c>
      <c r="AB59" s="17" t="n">
        <f aca="false">SUMIF($C$8:$C$54,$A59,AB$8:AB$54)</f>
        <v>26500</v>
      </c>
      <c r="AC59" s="17" t="n">
        <f aca="false">SUMIF($C$8:$C$54,$A59,AC$8:AC$54)</f>
        <v>26500</v>
      </c>
      <c r="AD59" s="17" t="n">
        <f aca="false">SUMIF($C$8:$C$54,$A59,AD$8:AD$54)</f>
        <v>26500</v>
      </c>
      <c r="AE59" s="17" t="n">
        <f aca="false">SUMIF($C$8:$C$54,$A59,AE$8:AE$54)</f>
        <v>26500</v>
      </c>
      <c r="AF59" s="17" t="n">
        <f aca="false">SUMIF($C$8:$C$54,$A59,AF$8:AF$54)</f>
        <v>26500</v>
      </c>
      <c r="AG59" s="17" t="n">
        <f aca="false">SUMIF($C$8:$C$54,$A59,AG$8:AG$54)</f>
        <v>26500</v>
      </c>
      <c r="AH59" s="17" t="n">
        <f aca="false">SUMIF($C$8:$C$54,$A59,AH$8:AH$54)</f>
        <v>26500</v>
      </c>
      <c r="AI59" s="17" t="n">
        <f aca="false">SUMIF($C$8:$C$54,$A59,AI$8:AI$54)</f>
        <v>26500</v>
      </c>
      <c r="AJ59" s="17" t="n">
        <f aca="false">SUMIF($C$8:$C$54,$A59,AJ$8:AJ$54)</f>
        <v>26500</v>
      </c>
      <c r="AK59" s="17" t="n">
        <f aca="false">SUMIF($C$8:$C$54,$A59,AK$8:AK$54)</f>
        <v>26500</v>
      </c>
      <c r="AL59" s="17" t="n">
        <f aca="false">SUMIF($C$8:$C$54,$A59,AL$8:AL$54)</f>
        <v>26500</v>
      </c>
      <c r="AM59" s="17" t="n">
        <f aca="false">SUMIF($C$8:$C$54,$A59,AM$8:AM$54)</f>
        <v>26500</v>
      </c>
      <c r="AN59" s="17" t="n">
        <f aca="false">SUMIF($C$8:$C$54,$A59,AN$8:AN$54)</f>
        <v>26500</v>
      </c>
      <c r="AO59" s="17" t="n">
        <f aca="false">SUMIF($C$8:$C$54,$A59,AO$8:AO$54)</f>
        <v>26500</v>
      </c>
    </row>
    <row r="60" customFormat="false" ht="15" hidden="false" customHeight="false" outlineLevel="0" collapsed="false">
      <c r="A60" s="23" t="s">
        <v>190</v>
      </c>
      <c r="E60" s="30" t="n">
        <f aca="false">SUM(F60:AO60)</f>
        <v>1395000</v>
      </c>
      <c r="F60" s="17" t="n">
        <f aca="false">SUMIF($C$8:$C$54,$A60,F$8:F$54)</f>
        <v>0</v>
      </c>
      <c r="G60" s="17" t="n">
        <f aca="false">SUMIF($C$8:$C$54,$A60,G$8:G$54)</f>
        <v>450000</v>
      </c>
      <c r="H60" s="17" t="n">
        <f aca="false">SUMIF($C$8:$C$54,$A60,H$8:H$54)</f>
        <v>752500</v>
      </c>
      <c r="I60" s="17" t="n">
        <f aca="false">SUMIF($C$8:$C$54,$A60,I$8:I$54)</f>
        <v>5833.33333333333</v>
      </c>
      <c r="J60" s="17" t="n">
        <f aca="false">SUMIF($C$8:$C$54,$A60,J$8:J$54)</f>
        <v>5833.33333333333</v>
      </c>
      <c r="K60" s="17" t="n">
        <f aca="false">SUMIF($C$8:$C$54,$A60,K$8:K$54)</f>
        <v>5833.33333333333</v>
      </c>
      <c r="L60" s="17" t="n">
        <f aca="false">SUMIF($C$8:$C$54,$A60,L$8:L$54)</f>
        <v>5833.33333333333</v>
      </c>
      <c r="M60" s="17" t="n">
        <f aca="false">SUMIF($C$8:$C$54,$A60,M$8:M$54)</f>
        <v>5833.33333333333</v>
      </c>
      <c r="N60" s="17" t="n">
        <f aca="false">SUMIF($C$8:$C$54,$A60,N$8:N$54)</f>
        <v>5833.33333333333</v>
      </c>
      <c r="O60" s="17" t="n">
        <f aca="false">SUMIF($C$8:$C$54,$A60,O$8:O$54)</f>
        <v>5833.33333333333</v>
      </c>
      <c r="P60" s="17" t="n">
        <f aca="false">SUMIF($C$8:$C$54,$A60,P$8:P$54)</f>
        <v>5833.33333333333</v>
      </c>
      <c r="Q60" s="17" t="n">
        <f aca="false">SUMIF($C$8:$C$54,$A60,Q$8:Q$54)</f>
        <v>5833.33333333333</v>
      </c>
      <c r="R60" s="17" t="n">
        <f aca="false">SUMIF($C$8:$C$54,$A60,R$8:R$54)</f>
        <v>5833.33333333333</v>
      </c>
      <c r="S60" s="17" t="n">
        <f aca="false">SUMIF($C$8:$C$54,$A60,S$8:S$54)</f>
        <v>5833.33333333333</v>
      </c>
      <c r="T60" s="17" t="n">
        <f aca="false">SUMIF($C$8:$C$54,$A60,T$8:T$54)</f>
        <v>5833.33333333333</v>
      </c>
      <c r="U60" s="17" t="n">
        <f aca="false">SUMIF($C$8:$C$54,$A60,U$8:U$54)</f>
        <v>5833.33333333333</v>
      </c>
      <c r="V60" s="17" t="n">
        <f aca="false">SUMIF($C$8:$C$54,$A60,V$8:V$54)</f>
        <v>5833.33333333333</v>
      </c>
      <c r="W60" s="17" t="n">
        <f aca="false">SUMIF($C$8:$C$54,$A60,W$8:W$54)</f>
        <v>5833.33333333333</v>
      </c>
      <c r="X60" s="17" t="n">
        <f aca="false">SUMIF($C$8:$C$54,$A60,X$8:X$54)</f>
        <v>5833.33333333333</v>
      </c>
      <c r="Y60" s="17" t="n">
        <f aca="false">SUMIF($C$8:$C$54,$A60,Y$8:Y$54)</f>
        <v>5833.33333333333</v>
      </c>
      <c r="Z60" s="17" t="n">
        <f aca="false">SUMIF($C$8:$C$54,$A60,Z$8:Z$54)</f>
        <v>5833.33333333333</v>
      </c>
      <c r="AA60" s="17" t="n">
        <f aca="false">SUMIF($C$8:$C$54,$A60,AA$8:AA$54)</f>
        <v>5833.33333333333</v>
      </c>
      <c r="AB60" s="17" t="n">
        <f aca="false">SUMIF($C$8:$C$54,$A60,AB$8:AB$54)</f>
        <v>5833.33333333333</v>
      </c>
      <c r="AC60" s="17" t="n">
        <f aca="false">SUMIF($C$8:$C$54,$A60,AC$8:AC$54)</f>
        <v>5833.33333333333</v>
      </c>
      <c r="AD60" s="17" t="n">
        <f aca="false">SUMIF($C$8:$C$54,$A60,AD$8:AD$54)</f>
        <v>5833.33333333333</v>
      </c>
      <c r="AE60" s="17" t="n">
        <f aca="false">SUMIF($C$8:$C$54,$A60,AE$8:AE$54)</f>
        <v>5833.33333333333</v>
      </c>
      <c r="AF60" s="17" t="n">
        <f aca="false">SUMIF($C$8:$C$54,$A60,AF$8:AF$54)</f>
        <v>5833.33333333333</v>
      </c>
      <c r="AG60" s="17" t="n">
        <f aca="false">SUMIF($C$8:$C$54,$A60,AG$8:AG$54)</f>
        <v>5833.33333333333</v>
      </c>
      <c r="AH60" s="17" t="n">
        <f aca="false">SUMIF($C$8:$C$54,$A60,AH$8:AH$54)</f>
        <v>5833.33333333333</v>
      </c>
      <c r="AI60" s="17" t="n">
        <f aca="false">SUMIF($C$8:$C$54,$A60,AI$8:AI$54)</f>
        <v>5833.33333333333</v>
      </c>
      <c r="AJ60" s="17" t="n">
        <f aca="false">SUMIF($C$8:$C$54,$A60,AJ$8:AJ$54)</f>
        <v>5833.33333333333</v>
      </c>
      <c r="AK60" s="17" t="n">
        <f aca="false">SUMIF($C$8:$C$54,$A60,AK$8:AK$54)</f>
        <v>5833.33333333333</v>
      </c>
      <c r="AL60" s="17" t="n">
        <f aca="false">SUMIF($C$8:$C$54,$A60,AL$8:AL$54)</f>
        <v>5833.33333333333</v>
      </c>
      <c r="AM60" s="17" t="n">
        <f aca="false">SUMIF($C$8:$C$54,$A60,AM$8:AM$54)</f>
        <v>5833.33333333333</v>
      </c>
      <c r="AN60" s="17" t="n">
        <f aca="false">SUMIF($C$8:$C$54,$A60,AN$8:AN$54)</f>
        <v>5833.33333333333</v>
      </c>
      <c r="AO60" s="17" t="n">
        <f aca="false">SUMIF($C$8:$C$54,$A60,AO$8:AO$54)</f>
        <v>5833.33333333333</v>
      </c>
    </row>
    <row r="61" customFormat="false" ht="15" hidden="false" customHeight="false" outlineLevel="0" collapsed="false">
      <c r="A61" s="23" t="s">
        <v>206</v>
      </c>
      <c r="E61" s="30" t="n">
        <f aca="false">SUM(F61:AO61)</f>
        <v>628000</v>
      </c>
      <c r="F61" s="17" t="n">
        <f aca="false">SUMIF($C$8:$C$54,$A61,F$8:F$54)</f>
        <v>8000</v>
      </c>
      <c r="G61" s="17" t="n">
        <f aca="false">SUMIF($C$8:$C$54,$A61,G$8:G$54)</f>
        <v>8000</v>
      </c>
      <c r="H61" s="17" t="n">
        <f aca="false">SUMIF($C$8:$C$54,$A61,H$8:H$54)</f>
        <v>18000</v>
      </c>
      <c r="I61" s="17" t="n">
        <f aca="false">SUMIF($C$8:$C$54,$A61,I$8:I$54)</f>
        <v>18000</v>
      </c>
      <c r="J61" s="17" t="n">
        <f aca="false">SUMIF($C$8:$C$54,$A61,J$8:J$54)</f>
        <v>18000</v>
      </c>
      <c r="K61" s="17" t="n">
        <f aca="false">SUMIF($C$8:$C$54,$A61,K$8:K$54)</f>
        <v>18000</v>
      </c>
      <c r="L61" s="17" t="n">
        <f aca="false">SUMIF($C$8:$C$54,$A61,L$8:L$54)</f>
        <v>18000</v>
      </c>
      <c r="M61" s="17" t="n">
        <f aca="false">SUMIF($C$8:$C$54,$A61,M$8:M$54)</f>
        <v>18000</v>
      </c>
      <c r="N61" s="17" t="n">
        <f aca="false">SUMIF($C$8:$C$54,$A61,N$8:N$54)</f>
        <v>18000</v>
      </c>
      <c r="O61" s="17" t="n">
        <f aca="false">SUMIF($C$8:$C$54,$A61,O$8:O$54)</f>
        <v>18000</v>
      </c>
      <c r="P61" s="17" t="n">
        <f aca="false">SUMIF($C$8:$C$54,$A61,P$8:P$54)</f>
        <v>18000</v>
      </c>
      <c r="Q61" s="17" t="n">
        <f aca="false">SUMIF($C$8:$C$54,$A61,Q$8:Q$54)</f>
        <v>18000</v>
      </c>
      <c r="R61" s="17" t="n">
        <f aca="false">SUMIF($C$8:$C$54,$A61,R$8:R$54)</f>
        <v>18000</v>
      </c>
      <c r="S61" s="17" t="n">
        <f aca="false">SUMIF($C$8:$C$54,$A61,S$8:S$54)</f>
        <v>18000</v>
      </c>
      <c r="T61" s="17" t="n">
        <f aca="false">SUMIF($C$8:$C$54,$A61,T$8:T$54)</f>
        <v>18000</v>
      </c>
      <c r="U61" s="17" t="n">
        <f aca="false">SUMIF($C$8:$C$54,$A61,U$8:U$54)</f>
        <v>18000</v>
      </c>
      <c r="V61" s="17" t="n">
        <f aca="false">SUMIF($C$8:$C$54,$A61,V$8:V$54)</f>
        <v>18000</v>
      </c>
      <c r="W61" s="17" t="n">
        <f aca="false">SUMIF($C$8:$C$54,$A61,W$8:W$54)</f>
        <v>18000</v>
      </c>
      <c r="X61" s="17" t="n">
        <f aca="false">SUMIF($C$8:$C$54,$A61,X$8:X$54)</f>
        <v>18000</v>
      </c>
      <c r="Y61" s="17" t="n">
        <f aca="false">SUMIF($C$8:$C$54,$A61,Y$8:Y$54)</f>
        <v>18000</v>
      </c>
      <c r="Z61" s="17" t="n">
        <f aca="false">SUMIF($C$8:$C$54,$A61,Z$8:Z$54)</f>
        <v>18000</v>
      </c>
      <c r="AA61" s="17" t="n">
        <f aca="false">SUMIF($C$8:$C$54,$A61,AA$8:AA$54)</f>
        <v>18000</v>
      </c>
      <c r="AB61" s="17" t="n">
        <f aca="false">SUMIF($C$8:$C$54,$A61,AB$8:AB$54)</f>
        <v>18000</v>
      </c>
      <c r="AC61" s="17" t="n">
        <f aca="false">SUMIF($C$8:$C$54,$A61,AC$8:AC$54)</f>
        <v>18000</v>
      </c>
      <c r="AD61" s="17" t="n">
        <f aca="false">SUMIF($C$8:$C$54,$A61,AD$8:AD$54)</f>
        <v>18000</v>
      </c>
      <c r="AE61" s="17" t="n">
        <f aca="false">SUMIF($C$8:$C$54,$A61,AE$8:AE$54)</f>
        <v>18000</v>
      </c>
      <c r="AF61" s="17" t="n">
        <f aca="false">SUMIF($C$8:$C$54,$A61,AF$8:AF$54)</f>
        <v>18000</v>
      </c>
      <c r="AG61" s="17" t="n">
        <f aca="false">SUMIF($C$8:$C$54,$A61,AG$8:AG$54)</f>
        <v>18000</v>
      </c>
      <c r="AH61" s="17" t="n">
        <f aca="false">SUMIF($C$8:$C$54,$A61,AH$8:AH$54)</f>
        <v>18000</v>
      </c>
      <c r="AI61" s="17" t="n">
        <f aca="false">SUMIF($C$8:$C$54,$A61,AI$8:AI$54)</f>
        <v>18000</v>
      </c>
      <c r="AJ61" s="17" t="n">
        <f aca="false">SUMIF($C$8:$C$54,$A61,AJ$8:AJ$54)</f>
        <v>18000</v>
      </c>
      <c r="AK61" s="17" t="n">
        <f aca="false">SUMIF($C$8:$C$54,$A61,AK$8:AK$54)</f>
        <v>18000</v>
      </c>
      <c r="AL61" s="17" t="n">
        <f aca="false">SUMIF($C$8:$C$54,$A61,AL$8:AL$54)</f>
        <v>18000</v>
      </c>
      <c r="AM61" s="17" t="n">
        <f aca="false">SUMIF($C$8:$C$54,$A61,AM$8:AM$54)</f>
        <v>18000</v>
      </c>
      <c r="AN61" s="17" t="n">
        <f aca="false">SUMIF($C$8:$C$54,$A61,AN$8:AN$54)</f>
        <v>18000</v>
      </c>
      <c r="AO61" s="17" t="n">
        <f aca="false">SUMIF($C$8:$C$54,$A61,AO$8:AO$54)</f>
        <v>18000</v>
      </c>
    </row>
    <row r="62" customFormat="false" ht="15" hidden="false" customHeight="false" outlineLevel="0" collapsed="false">
      <c r="A62" s="23" t="s">
        <v>213</v>
      </c>
      <c r="E62" s="30" t="n">
        <f aca="false">SUM(F62:AO62)</f>
        <v>905000</v>
      </c>
      <c r="F62" s="17" t="n">
        <f aca="false">SUMIF($C$8:$C$54,$A62,F$8:F$54)</f>
        <v>0</v>
      </c>
      <c r="G62" s="17" t="n">
        <f aca="false">SUMIF($C$8:$C$54,$A62,G$8:G$54)</f>
        <v>3000</v>
      </c>
      <c r="H62" s="17" t="n">
        <f aca="false">SUMIF($C$8:$C$54,$A62,H$8:H$54)</f>
        <v>15500</v>
      </c>
      <c r="I62" s="17" t="n">
        <f aca="false">SUMIF($C$8:$C$54,$A62,I$8:I$54)</f>
        <v>15500</v>
      </c>
      <c r="J62" s="17" t="n">
        <f aca="false">SUMIF($C$8:$C$54,$A62,J$8:J$54)</f>
        <v>15500</v>
      </c>
      <c r="K62" s="17" t="n">
        <f aca="false">SUMIF($C$8:$C$54,$A62,K$8:K$54)</f>
        <v>15500</v>
      </c>
      <c r="L62" s="17" t="n">
        <f aca="false">SUMIF($C$8:$C$54,$A62,L$8:L$54)</f>
        <v>28000</v>
      </c>
      <c r="M62" s="17" t="n">
        <f aca="false">SUMIF($C$8:$C$54,$A62,M$8:M$54)</f>
        <v>28000</v>
      </c>
      <c r="N62" s="17" t="n">
        <f aca="false">SUMIF($C$8:$C$54,$A62,N$8:N$54)</f>
        <v>28000</v>
      </c>
      <c r="O62" s="17" t="n">
        <f aca="false">SUMIF($C$8:$C$54,$A62,O$8:O$54)</f>
        <v>28000</v>
      </c>
      <c r="P62" s="17" t="n">
        <f aca="false">SUMIF($C$8:$C$54,$A62,P$8:P$54)</f>
        <v>28000</v>
      </c>
      <c r="Q62" s="17" t="n">
        <f aca="false">SUMIF($C$8:$C$54,$A62,Q$8:Q$54)</f>
        <v>28000</v>
      </c>
      <c r="R62" s="17" t="n">
        <f aca="false">SUMIF($C$8:$C$54,$A62,R$8:R$54)</f>
        <v>28000</v>
      </c>
      <c r="S62" s="17" t="n">
        <f aca="false">SUMIF($C$8:$C$54,$A62,S$8:S$54)</f>
        <v>28000</v>
      </c>
      <c r="T62" s="17" t="n">
        <f aca="false">SUMIF($C$8:$C$54,$A62,T$8:T$54)</f>
        <v>28000</v>
      </c>
      <c r="U62" s="17" t="n">
        <f aca="false">SUMIF($C$8:$C$54,$A62,U$8:U$54)</f>
        <v>28000</v>
      </c>
      <c r="V62" s="17" t="n">
        <f aca="false">SUMIF($C$8:$C$54,$A62,V$8:V$54)</f>
        <v>28000</v>
      </c>
      <c r="W62" s="17" t="n">
        <f aca="false">SUMIF($C$8:$C$54,$A62,W$8:W$54)</f>
        <v>28000</v>
      </c>
      <c r="X62" s="17" t="n">
        <f aca="false">SUMIF($C$8:$C$54,$A62,X$8:X$54)</f>
        <v>28000</v>
      </c>
      <c r="Y62" s="17" t="n">
        <f aca="false">SUMIF($C$8:$C$54,$A62,Y$8:Y$54)</f>
        <v>28000</v>
      </c>
      <c r="Z62" s="17" t="n">
        <f aca="false">SUMIF($C$8:$C$54,$A62,Z$8:Z$54)</f>
        <v>28000</v>
      </c>
      <c r="AA62" s="17" t="n">
        <f aca="false">SUMIF($C$8:$C$54,$A62,AA$8:AA$54)</f>
        <v>28000</v>
      </c>
      <c r="AB62" s="17" t="n">
        <f aca="false">SUMIF($C$8:$C$54,$A62,AB$8:AB$54)</f>
        <v>28000</v>
      </c>
      <c r="AC62" s="17" t="n">
        <f aca="false">SUMIF($C$8:$C$54,$A62,AC$8:AC$54)</f>
        <v>28000</v>
      </c>
      <c r="AD62" s="17" t="n">
        <f aca="false">SUMIF($C$8:$C$54,$A62,AD$8:AD$54)</f>
        <v>28000</v>
      </c>
      <c r="AE62" s="17" t="n">
        <f aca="false">SUMIF($C$8:$C$54,$A62,AE$8:AE$54)</f>
        <v>28000</v>
      </c>
      <c r="AF62" s="17" t="n">
        <f aca="false">SUMIF($C$8:$C$54,$A62,AF$8:AF$54)</f>
        <v>28000</v>
      </c>
      <c r="AG62" s="17" t="n">
        <f aca="false">SUMIF($C$8:$C$54,$A62,AG$8:AG$54)</f>
        <v>28000</v>
      </c>
      <c r="AH62" s="17" t="n">
        <f aca="false">SUMIF($C$8:$C$54,$A62,AH$8:AH$54)</f>
        <v>28000</v>
      </c>
      <c r="AI62" s="17" t="n">
        <f aca="false">SUMIF($C$8:$C$54,$A62,AI$8:AI$54)</f>
        <v>28000</v>
      </c>
      <c r="AJ62" s="17" t="n">
        <f aca="false">SUMIF($C$8:$C$54,$A62,AJ$8:AJ$54)</f>
        <v>28000</v>
      </c>
      <c r="AK62" s="17" t="n">
        <f aca="false">SUMIF($C$8:$C$54,$A62,AK$8:AK$54)</f>
        <v>28000</v>
      </c>
      <c r="AL62" s="17" t="n">
        <f aca="false">SUMIF($C$8:$C$54,$A62,AL$8:AL$54)</f>
        <v>28000</v>
      </c>
      <c r="AM62" s="17" t="n">
        <f aca="false">SUMIF($C$8:$C$54,$A62,AM$8:AM$54)</f>
        <v>28000</v>
      </c>
      <c r="AN62" s="17" t="n">
        <f aca="false">SUMIF($C$8:$C$54,$A62,AN$8:AN$54)</f>
        <v>28000</v>
      </c>
      <c r="AO62" s="17" t="n">
        <f aca="false">SUMIF($C$8:$C$54,$A62,AO$8:AO$54)</f>
        <v>28000</v>
      </c>
    </row>
    <row r="63" customFormat="false" ht="15" hidden="false" customHeight="false" outlineLevel="0" collapsed="false">
      <c r="A63" s="23" t="s">
        <v>222</v>
      </c>
      <c r="E63" s="30" t="n">
        <f aca="false">SUM(F63:AO63)</f>
        <v>855000</v>
      </c>
      <c r="F63" s="17" t="n">
        <f aca="false">SUMIF($C$8:$C$54,$A63,F$8:F$54)</f>
        <v>155000</v>
      </c>
      <c r="G63" s="17" t="n">
        <f aca="false">SUMIF($C$8:$C$54,$A63,G$8:G$54)</f>
        <v>20000</v>
      </c>
      <c r="H63" s="17" t="n">
        <f aca="false">SUMIF($C$8:$C$54,$A63,H$8:H$54)</f>
        <v>20000</v>
      </c>
      <c r="I63" s="17" t="n">
        <f aca="false">SUMIF($C$8:$C$54,$A63,I$8:I$54)</f>
        <v>20000</v>
      </c>
      <c r="J63" s="17" t="n">
        <f aca="false">SUMIF($C$8:$C$54,$A63,J$8:J$54)</f>
        <v>20000</v>
      </c>
      <c r="K63" s="17" t="n">
        <f aca="false">SUMIF($C$8:$C$54,$A63,K$8:K$54)</f>
        <v>20000</v>
      </c>
      <c r="L63" s="17" t="n">
        <f aca="false">SUMIF($C$8:$C$54,$A63,L$8:L$54)</f>
        <v>20000</v>
      </c>
      <c r="M63" s="17" t="n">
        <f aca="false">SUMIF($C$8:$C$54,$A63,M$8:M$54)</f>
        <v>20000</v>
      </c>
      <c r="N63" s="17" t="n">
        <f aca="false">SUMIF($C$8:$C$54,$A63,N$8:N$54)</f>
        <v>20000</v>
      </c>
      <c r="O63" s="17" t="n">
        <f aca="false">SUMIF($C$8:$C$54,$A63,O$8:O$54)</f>
        <v>20000</v>
      </c>
      <c r="P63" s="17" t="n">
        <f aca="false">SUMIF($C$8:$C$54,$A63,P$8:P$54)</f>
        <v>20000</v>
      </c>
      <c r="Q63" s="17" t="n">
        <f aca="false">SUMIF($C$8:$C$54,$A63,Q$8:Q$54)</f>
        <v>20000</v>
      </c>
      <c r="R63" s="17" t="n">
        <f aca="false">SUMIF($C$8:$C$54,$A63,R$8:R$54)</f>
        <v>20000</v>
      </c>
      <c r="S63" s="17" t="n">
        <f aca="false">SUMIF($C$8:$C$54,$A63,S$8:S$54)</f>
        <v>20000</v>
      </c>
      <c r="T63" s="17" t="n">
        <f aca="false">SUMIF($C$8:$C$54,$A63,T$8:T$54)</f>
        <v>20000</v>
      </c>
      <c r="U63" s="17" t="n">
        <f aca="false">SUMIF($C$8:$C$54,$A63,U$8:U$54)</f>
        <v>20000</v>
      </c>
      <c r="V63" s="17" t="n">
        <f aca="false">SUMIF($C$8:$C$54,$A63,V$8:V$54)</f>
        <v>20000</v>
      </c>
      <c r="W63" s="17" t="n">
        <f aca="false">SUMIF($C$8:$C$54,$A63,W$8:W$54)</f>
        <v>20000</v>
      </c>
      <c r="X63" s="17" t="n">
        <f aca="false">SUMIF($C$8:$C$54,$A63,X$8:X$54)</f>
        <v>20000</v>
      </c>
      <c r="Y63" s="17" t="n">
        <f aca="false">SUMIF($C$8:$C$54,$A63,Y$8:Y$54)</f>
        <v>20000</v>
      </c>
      <c r="Z63" s="17" t="n">
        <f aca="false">SUMIF($C$8:$C$54,$A63,Z$8:Z$54)</f>
        <v>20000</v>
      </c>
      <c r="AA63" s="17" t="n">
        <f aca="false">SUMIF($C$8:$C$54,$A63,AA$8:AA$54)</f>
        <v>20000</v>
      </c>
      <c r="AB63" s="17" t="n">
        <f aca="false">SUMIF($C$8:$C$54,$A63,AB$8:AB$54)</f>
        <v>20000</v>
      </c>
      <c r="AC63" s="17" t="n">
        <f aca="false">SUMIF($C$8:$C$54,$A63,AC$8:AC$54)</f>
        <v>20000</v>
      </c>
      <c r="AD63" s="17" t="n">
        <f aca="false">SUMIF($C$8:$C$54,$A63,AD$8:AD$54)</f>
        <v>20000</v>
      </c>
      <c r="AE63" s="17" t="n">
        <f aca="false">SUMIF($C$8:$C$54,$A63,AE$8:AE$54)</f>
        <v>20000</v>
      </c>
      <c r="AF63" s="17" t="n">
        <f aca="false">SUMIF($C$8:$C$54,$A63,AF$8:AF$54)</f>
        <v>20000</v>
      </c>
      <c r="AG63" s="17" t="n">
        <f aca="false">SUMIF($C$8:$C$54,$A63,AG$8:AG$54)</f>
        <v>20000</v>
      </c>
      <c r="AH63" s="17" t="n">
        <f aca="false">SUMIF($C$8:$C$54,$A63,AH$8:AH$54)</f>
        <v>20000</v>
      </c>
      <c r="AI63" s="17" t="n">
        <f aca="false">SUMIF($C$8:$C$54,$A63,AI$8:AI$54)</f>
        <v>20000</v>
      </c>
      <c r="AJ63" s="17" t="n">
        <f aca="false">SUMIF($C$8:$C$54,$A63,AJ$8:AJ$54)</f>
        <v>20000</v>
      </c>
      <c r="AK63" s="17" t="n">
        <f aca="false">SUMIF($C$8:$C$54,$A63,AK$8:AK$54)</f>
        <v>20000</v>
      </c>
      <c r="AL63" s="17" t="n">
        <f aca="false">SUMIF($C$8:$C$54,$A63,AL$8:AL$54)</f>
        <v>20000</v>
      </c>
      <c r="AM63" s="17" t="n">
        <f aca="false">SUMIF($C$8:$C$54,$A63,AM$8:AM$54)</f>
        <v>20000</v>
      </c>
      <c r="AN63" s="17" t="n">
        <f aca="false">SUMIF($C$8:$C$54,$A63,AN$8:AN$54)</f>
        <v>20000</v>
      </c>
      <c r="AO63" s="17" t="n">
        <f aca="false">SUMIF($C$8:$C$54,$A63,AO$8:AO$54)</f>
        <v>20000</v>
      </c>
    </row>
    <row r="64" customFormat="false" ht="15" hidden="false" customHeight="false" outlineLevel="0" collapsed="false">
      <c r="A64" s="23" t="s">
        <v>237</v>
      </c>
      <c r="E64" s="30" t="n">
        <f aca="false">SUM(F64:AO64)</f>
        <v>737333.333333333</v>
      </c>
      <c r="F64" s="17" t="n">
        <f aca="false">SUMIF($C$8:$C$54,$A64,F$8:F$54)</f>
        <v>26500</v>
      </c>
      <c r="G64" s="17" t="n">
        <f aca="false">SUMIF($C$8:$C$54,$A64,G$8:G$54)</f>
        <v>26500</v>
      </c>
      <c r="H64" s="17" t="n">
        <f aca="false">SUMIF($C$8:$C$54,$A64,H$8:H$54)</f>
        <v>26500</v>
      </c>
      <c r="I64" s="17" t="n">
        <f aca="false">SUMIF($C$8:$C$54,$A64,I$8:I$54)</f>
        <v>26500</v>
      </c>
      <c r="J64" s="17" t="n">
        <f aca="false">SUMIF($C$8:$C$54,$A64,J$8:J$54)</f>
        <v>26500</v>
      </c>
      <c r="K64" s="17" t="n">
        <f aca="false">SUMIF($C$8:$C$54,$A64,K$8:K$54)</f>
        <v>26500</v>
      </c>
      <c r="L64" s="17" t="n">
        <f aca="false">SUMIF($C$8:$C$54,$A64,L$8:L$54)</f>
        <v>16500</v>
      </c>
      <c r="M64" s="17" t="n">
        <f aca="false">SUMIF($C$8:$C$54,$A64,M$8:M$54)</f>
        <v>16500</v>
      </c>
      <c r="N64" s="17" t="n">
        <f aca="false">SUMIF($C$8:$C$54,$A64,N$8:N$54)</f>
        <v>16500</v>
      </c>
      <c r="O64" s="17" t="n">
        <f aca="false">SUMIF($C$8:$C$54,$A64,O$8:O$54)</f>
        <v>16500</v>
      </c>
      <c r="P64" s="17" t="n">
        <f aca="false">SUMIF($C$8:$C$54,$A64,P$8:P$54)</f>
        <v>16500</v>
      </c>
      <c r="Q64" s="17" t="n">
        <f aca="false">SUMIF($C$8:$C$54,$A64,Q$8:Q$54)</f>
        <v>19833.3333333333</v>
      </c>
      <c r="R64" s="17" t="n">
        <f aca="false">SUMIF($C$8:$C$54,$A64,R$8:R$54)</f>
        <v>19833.3333333333</v>
      </c>
      <c r="S64" s="17" t="n">
        <f aca="false">SUMIF($C$8:$C$54,$A64,S$8:S$54)</f>
        <v>19833.3333333333</v>
      </c>
      <c r="T64" s="17" t="n">
        <f aca="false">SUMIF($C$8:$C$54,$A64,T$8:T$54)</f>
        <v>19833.3333333333</v>
      </c>
      <c r="U64" s="17" t="n">
        <f aca="false">SUMIF($C$8:$C$54,$A64,U$8:U$54)</f>
        <v>19833.3333333333</v>
      </c>
      <c r="V64" s="17" t="n">
        <f aca="false">SUMIF($C$8:$C$54,$A64,V$8:V$54)</f>
        <v>19833.3333333333</v>
      </c>
      <c r="W64" s="17" t="n">
        <f aca="false">SUMIF($C$8:$C$54,$A64,W$8:W$54)</f>
        <v>19833.3333333333</v>
      </c>
      <c r="X64" s="17" t="n">
        <f aca="false">SUMIF($C$8:$C$54,$A64,X$8:X$54)</f>
        <v>19833.3333333333</v>
      </c>
      <c r="Y64" s="17" t="n">
        <f aca="false">SUMIF($C$8:$C$54,$A64,Y$8:Y$54)</f>
        <v>19833.3333333333</v>
      </c>
      <c r="Z64" s="17" t="n">
        <f aca="false">SUMIF($C$8:$C$54,$A64,Z$8:Z$54)</f>
        <v>19833.3333333333</v>
      </c>
      <c r="AA64" s="17" t="n">
        <f aca="false">SUMIF($C$8:$C$54,$A64,AA$8:AA$54)</f>
        <v>19833.3333333333</v>
      </c>
      <c r="AB64" s="17" t="n">
        <f aca="false">SUMIF($C$8:$C$54,$A64,AB$8:AB$54)</f>
        <v>19833.3333333333</v>
      </c>
      <c r="AC64" s="17" t="n">
        <f aca="false">SUMIF($C$8:$C$54,$A64,AC$8:AC$54)</f>
        <v>19833.3333333333</v>
      </c>
      <c r="AD64" s="17" t="n">
        <f aca="false">SUMIF($C$8:$C$54,$A64,AD$8:AD$54)</f>
        <v>19833.3333333333</v>
      </c>
      <c r="AE64" s="17" t="n">
        <f aca="false">SUMIF($C$8:$C$54,$A64,AE$8:AE$54)</f>
        <v>19833.3333333333</v>
      </c>
      <c r="AF64" s="17" t="n">
        <f aca="false">SUMIF($C$8:$C$54,$A64,AF$8:AF$54)</f>
        <v>19833.3333333333</v>
      </c>
      <c r="AG64" s="17" t="n">
        <f aca="false">SUMIF($C$8:$C$54,$A64,AG$8:AG$54)</f>
        <v>19833.3333333333</v>
      </c>
      <c r="AH64" s="17" t="n">
        <f aca="false">SUMIF($C$8:$C$54,$A64,AH$8:AH$54)</f>
        <v>19833.3333333333</v>
      </c>
      <c r="AI64" s="17" t="n">
        <f aca="false">SUMIF($C$8:$C$54,$A64,AI$8:AI$54)</f>
        <v>19833.3333333333</v>
      </c>
      <c r="AJ64" s="17" t="n">
        <f aca="false">SUMIF($C$8:$C$54,$A64,AJ$8:AJ$54)</f>
        <v>19833.3333333333</v>
      </c>
      <c r="AK64" s="17" t="n">
        <f aca="false">SUMIF($C$8:$C$54,$A64,AK$8:AK$54)</f>
        <v>19833.3333333333</v>
      </c>
      <c r="AL64" s="17" t="n">
        <f aca="false">SUMIF($C$8:$C$54,$A64,AL$8:AL$54)</f>
        <v>19833.3333333333</v>
      </c>
      <c r="AM64" s="17" t="n">
        <f aca="false">SUMIF($C$8:$C$54,$A64,AM$8:AM$54)</f>
        <v>19833.3333333333</v>
      </c>
      <c r="AN64" s="17" t="n">
        <f aca="false">SUMIF($C$8:$C$54,$A64,AN$8:AN$54)</f>
        <v>19833.3333333333</v>
      </c>
      <c r="AO64" s="17" t="n">
        <f aca="false">SUMIF($C$8:$C$54,$A64,AO$8:AO$54)</f>
        <v>19833.3333333333</v>
      </c>
    </row>
    <row r="65" customFormat="false" ht="15" hidden="false" customHeight="false" outlineLevel="0" collapsed="false">
      <c r="A65" s="23" t="s">
        <v>250</v>
      </c>
      <c r="E65" s="30" t="n">
        <f aca="false">SUM(F65:AO65)</f>
        <v>828000</v>
      </c>
      <c r="F65" s="17" t="n">
        <f aca="false">SUMIF($C$8:$C$54,$A65,F$8:F$54)</f>
        <v>215500</v>
      </c>
      <c r="G65" s="17" t="n">
        <f aca="false">SUMIF($C$8:$C$54,$A65,G$8:G$54)</f>
        <v>85500</v>
      </c>
      <c r="H65" s="17" t="n">
        <f aca="false">SUMIF($C$8:$C$54,$A65,H$8:H$54)</f>
        <v>15500</v>
      </c>
      <c r="I65" s="17" t="n">
        <f aca="false">SUMIF($C$8:$C$54,$A65,I$8:I$54)</f>
        <v>15500</v>
      </c>
      <c r="J65" s="17" t="n">
        <f aca="false">SUMIF($C$8:$C$54,$A65,J$8:J$54)</f>
        <v>15500</v>
      </c>
      <c r="K65" s="17" t="n">
        <f aca="false">SUMIF($C$8:$C$54,$A65,K$8:K$54)</f>
        <v>15500</v>
      </c>
      <c r="L65" s="17" t="n">
        <f aca="false">SUMIF($C$8:$C$54,$A65,L$8:L$54)</f>
        <v>15500</v>
      </c>
      <c r="M65" s="17" t="n">
        <f aca="false">SUMIF($C$8:$C$54,$A65,M$8:M$54)</f>
        <v>15500</v>
      </c>
      <c r="N65" s="17" t="n">
        <f aca="false">SUMIF($C$8:$C$54,$A65,N$8:N$54)</f>
        <v>15500</v>
      </c>
      <c r="O65" s="17" t="n">
        <f aca="false">SUMIF($C$8:$C$54,$A65,O$8:O$54)</f>
        <v>15500</v>
      </c>
      <c r="P65" s="17" t="n">
        <f aca="false">SUMIF($C$8:$C$54,$A65,P$8:P$54)</f>
        <v>15500</v>
      </c>
      <c r="Q65" s="17" t="n">
        <f aca="false">SUMIF($C$8:$C$54,$A65,Q$8:Q$54)</f>
        <v>15500</v>
      </c>
      <c r="R65" s="17" t="n">
        <f aca="false">SUMIF($C$8:$C$54,$A65,R$8:R$54)</f>
        <v>15500</v>
      </c>
      <c r="S65" s="17" t="n">
        <f aca="false">SUMIF($C$8:$C$54,$A65,S$8:S$54)</f>
        <v>15500</v>
      </c>
      <c r="T65" s="17" t="n">
        <f aca="false">SUMIF($C$8:$C$54,$A65,T$8:T$54)</f>
        <v>15500</v>
      </c>
      <c r="U65" s="17" t="n">
        <f aca="false">SUMIF($C$8:$C$54,$A65,U$8:U$54)</f>
        <v>15500</v>
      </c>
      <c r="V65" s="17" t="n">
        <f aca="false">SUMIF($C$8:$C$54,$A65,V$8:V$54)</f>
        <v>15500</v>
      </c>
      <c r="W65" s="17" t="n">
        <f aca="false">SUMIF($C$8:$C$54,$A65,W$8:W$54)</f>
        <v>15500</v>
      </c>
      <c r="X65" s="17" t="n">
        <f aca="false">SUMIF($C$8:$C$54,$A65,X$8:X$54)</f>
        <v>15500</v>
      </c>
      <c r="Y65" s="17" t="n">
        <f aca="false">SUMIF($C$8:$C$54,$A65,Y$8:Y$54)</f>
        <v>15500</v>
      </c>
      <c r="Z65" s="17" t="n">
        <f aca="false">SUMIF($C$8:$C$54,$A65,Z$8:Z$54)</f>
        <v>15500</v>
      </c>
      <c r="AA65" s="17" t="n">
        <f aca="false">SUMIF($C$8:$C$54,$A65,AA$8:AA$54)</f>
        <v>15500</v>
      </c>
      <c r="AB65" s="17" t="n">
        <f aca="false">SUMIF($C$8:$C$54,$A65,AB$8:AB$54)</f>
        <v>15500</v>
      </c>
      <c r="AC65" s="17" t="n">
        <f aca="false">SUMIF($C$8:$C$54,$A65,AC$8:AC$54)</f>
        <v>15500</v>
      </c>
      <c r="AD65" s="17" t="n">
        <f aca="false">SUMIF($C$8:$C$54,$A65,AD$8:AD$54)</f>
        <v>15500</v>
      </c>
      <c r="AE65" s="17" t="n">
        <f aca="false">SUMIF($C$8:$C$54,$A65,AE$8:AE$54)</f>
        <v>15500</v>
      </c>
      <c r="AF65" s="17" t="n">
        <f aca="false">SUMIF($C$8:$C$54,$A65,AF$8:AF$54)</f>
        <v>15500</v>
      </c>
      <c r="AG65" s="17" t="n">
        <f aca="false">SUMIF($C$8:$C$54,$A65,AG$8:AG$54)</f>
        <v>15500</v>
      </c>
      <c r="AH65" s="17" t="n">
        <f aca="false">SUMIF($C$8:$C$54,$A65,AH$8:AH$54)</f>
        <v>15500</v>
      </c>
      <c r="AI65" s="17" t="n">
        <f aca="false">SUMIF($C$8:$C$54,$A65,AI$8:AI$54)</f>
        <v>15500</v>
      </c>
      <c r="AJ65" s="17" t="n">
        <f aca="false">SUMIF($C$8:$C$54,$A65,AJ$8:AJ$54)</f>
        <v>15500</v>
      </c>
      <c r="AK65" s="17" t="n">
        <f aca="false">SUMIF($C$8:$C$54,$A65,AK$8:AK$54)</f>
        <v>15500</v>
      </c>
      <c r="AL65" s="17" t="n">
        <f aca="false">SUMIF($C$8:$C$54,$A65,AL$8:AL$54)</f>
        <v>15500</v>
      </c>
      <c r="AM65" s="17" t="n">
        <f aca="false">SUMIF($C$8:$C$54,$A65,AM$8:AM$54)</f>
        <v>15500</v>
      </c>
      <c r="AN65" s="17" t="n">
        <f aca="false">SUMIF($C$8:$C$54,$A65,AN$8:AN$54)</f>
        <v>15500</v>
      </c>
      <c r="AO65" s="17" t="n">
        <f aca="false">SUMIF($C$8:$C$54,$A65,AO$8:AO$54)</f>
        <v>15500</v>
      </c>
    </row>
    <row r="66" customFormat="false" ht="15" hidden="false" customHeight="false" outlineLevel="0" collapsed="false">
      <c r="A66" s="23" t="s">
        <v>270</v>
      </c>
      <c r="E66" s="30" t="n">
        <f aca="false">SUM(F66:AO66)</f>
        <v>0</v>
      </c>
      <c r="F66" s="17" t="n">
        <f aca="false">SUMIF($C$8:$C$54,$A66,F$8:F$54)</f>
        <v>0</v>
      </c>
      <c r="G66" s="17" t="n">
        <f aca="false">SUMIF($C$8:$C$54,$A66,G$8:G$54)</f>
        <v>0</v>
      </c>
      <c r="H66" s="17" t="n">
        <f aca="false">SUMIF($C$8:$C$54,$A66,H$8:H$54)</f>
        <v>0</v>
      </c>
      <c r="I66" s="17" t="n">
        <f aca="false">SUMIF($C$8:$C$54,$A66,I$8:I$54)</f>
        <v>0</v>
      </c>
      <c r="J66" s="17" t="n">
        <f aca="false">SUMIF($C$8:$C$54,$A66,J$8:J$54)</f>
        <v>0</v>
      </c>
      <c r="K66" s="17" t="n">
        <f aca="false">SUMIF($C$8:$C$54,$A66,K$8:K$54)</f>
        <v>0</v>
      </c>
      <c r="L66" s="17" t="n">
        <f aca="false">SUMIF($C$8:$C$54,$A66,L$8:L$54)</f>
        <v>0</v>
      </c>
      <c r="M66" s="17" t="n">
        <f aca="false">SUMIF($C$8:$C$54,$A66,M$8:M$54)</f>
        <v>0</v>
      </c>
      <c r="N66" s="17" t="n">
        <f aca="false">SUMIF($C$8:$C$54,$A66,N$8:N$54)</f>
        <v>0</v>
      </c>
      <c r="O66" s="17" t="n">
        <f aca="false">SUMIF($C$8:$C$54,$A66,O$8:O$54)</f>
        <v>0</v>
      </c>
      <c r="P66" s="17" t="n">
        <f aca="false">SUMIF($C$8:$C$54,$A66,P$8:P$54)</f>
        <v>0</v>
      </c>
      <c r="Q66" s="17" t="n">
        <f aca="false">SUMIF($C$8:$C$54,$A66,Q$8:Q$54)</f>
        <v>0</v>
      </c>
      <c r="R66" s="17" t="n">
        <f aca="false">SUMIF($C$8:$C$54,$A66,R$8:R$54)</f>
        <v>0</v>
      </c>
      <c r="S66" s="17" t="n">
        <f aca="false">SUMIF($C$8:$C$54,$A66,S$8:S$54)</f>
        <v>0</v>
      </c>
      <c r="T66" s="17" t="n">
        <f aca="false">SUMIF($C$8:$C$54,$A66,T$8:T$54)</f>
        <v>0</v>
      </c>
      <c r="U66" s="17" t="n">
        <f aca="false">SUMIF($C$8:$C$54,$A66,U$8:U$54)</f>
        <v>0</v>
      </c>
      <c r="V66" s="17" t="n">
        <f aca="false">SUMIF($C$8:$C$54,$A66,V$8:V$54)</f>
        <v>0</v>
      </c>
      <c r="W66" s="17" t="n">
        <f aca="false">SUMIF($C$8:$C$54,$A66,W$8:W$54)</f>
        <v>0</v>
      </c>
      <c r="X66" s="17" t="n">
        <f aca="false">SUMIF($C$8:$C$54,$A66,X$8:X$54)</f>
        <v>0</v>
      </c>
      <c r="Y66" s="17" t="n">
        <f aca="false">SUMIF($C$8:$C$54,$A66,Y$8:Y$54)</f>
        <v>0</v>
      </c>
      <c r="Z66" s="17" t="n">
        <f aca="false">SUMIF($C$8:$C$54,$A66,Z$8:Z$54)</f>
        <v>0</v>
      </c>
      <c r="AA66" s="17" t="n">
        <f aca="false">SUMIF($C$8:$C$54,$A66,AA$8:AA$54)</f>
        <v>0</v>
      </c>
      <c r="AB66" s="17" t="n">
        <f aca="false">SUMIF($C$8:$C$54,$A66,AB$8:AB$54)</f>
        <v>0</v>
      </c>
      <c r="AC66" s="17" t="n">
        <f aca="false">SUMIF($C$8:$C$54,$A66,AC$8:AC$54)</f>
        <v>0</v>
      </c>
      <c r="AD66" s="17" t="n">
        <f aca="false">SUMIF($C$8:$C$54,$A66,AD$8:AD$54)</f>
        <v>0</v>
      </c>
      <c r="AE66" s="17" t="n">
        <f aca="false">SUMIF($C$8:$C$54,$A66,AE$8:AE$54)</f>
        <v>0</v>
      </c>
      <c r="AF66" s="17" t="n">
        <f aca="false">SUMIF($C$8:$C$54,$A66,AF$8:AF$54)</f>
        <v>0</v>
      </c>
      <c r="AG66" s="17" t="n">
        <f aca="false">SUMIF($C$8:$C$54,$A66,AG$8:AG$54)</f>
        <v>0</v>
      </c>
      <c r="AH66" s="17" t="n">
        <f aca="false">SUMIF($C$8:$C$54,$A66,AH$8:AH$54)</f>
        <v>0</v>
      </c>
      <c r="AI66" s="17" t="n">
        <f aca="false">SUMIF($C$8:$C$54,$A66,AI$8:AI$54)</f>
        <v>0</v>
      </c>
      <c r="AJ66" s="17" t="n">
        <f aca="false">SUMIF($C$8:$C$54,$A66,AJ$8:AJ$54)</f>
        <v>0</v>
      </c>
      <c r="AK66" s="17" t="n">
        <f aca="false">SUMIF($C$8:$C$54,$A66,AK$8:AK$54)</f>
        <v>0</v>
      </c>
      <c r="AL66" s="17" t="n">
        <f aca="false">SUMIF($C$8:$C$54,$A66,AL$8:AL$54)</f>
        <v>0</v>
      </c>
      <c r="AM66" s="17" t="n">
        <f aca="false">SUMIF($C$8:$C$54,$A66,AM$8:AM$54)</f>
        <v>0</v>
      </c>
      <c r="AN66" s="17" t="n">
        <f aca="false">SUMIF($C$8:$C$54,$A66,AN$8:AN$54)</f>
        <v>0</v>
      </c>
      <c r="AO66" s="17" t="n">
        <f aca="false">SUMIF($C$8:$C$54,$A66,AO$8:AO$54)</f>
        <v>0</v>
      </c>
    </row>
    <row r="67" customFormat="false" ht="15" hidden="false" customHeight="false" outlineLevel="0" collapsed="false">
      <c r="A67" s="21" t="s">
        <v>288</v>
      </c>
      <c r="B67" s="31"/>
      <c r="C67" s="31"/>
      <c r="D67" s="31"/>
      <c r="E67" s="32" t="n">
        <f aca="false">SUM(F67:AO67)</f>
        <v>17073008.3333333</v>
      </c>
      <c r="F67" s="33" t="n">
        <f aca="false">SUM(F57:F66)</f>
        <v>519408.333333333</v>
      </c>
      <c r="G67" s="33" t="n">
        <f aca="false">SUM(G57:G66)</f>
        <v>1185250</v>
      </c>
      <c r="H67" s="33" t="n">
        <f aca="false">SUM(H57:H66)</f>
        <v>1172666.66666667</v>
      </c>
      <c r="I67" s="33" t="n">
        <f aca="false">SUM(I57:I66)</f>
        <v>448616.666666667</v>
      </c>
      <c r="J67" s="33" t="n">
        <f aca="false">SUM(J57:J66)</f>
        <v>448866.666666667</v>
      </c>
      <c r="K67" s="33" t="n">
        <f aca="false">SUM(K57:K66)</f>
        <v>423866.666666667</v>
      </c>
      <c r="L67" s="33" t="n">
        <f aca="false">SUM(L57:L66)</f>
        <v>426366.666666667</v>
      </c>
      <c r="M67" s="33" t="n">
        <f aca="false">SUM(M57:M66)</f>
        <v>426366.666666667</v>
      </c>
      <c r="N67" s="33" t="n">
        <f aca="false">SUM(N57:N66)</f>
        <v>426366.666666667</v>
      </c>
      <c r="O67" s="33" t="n">
        <f aca="false">SUM(O57:O66)</f>
        <v>426366.666666667</v>
      </c>
      <c r="P67" s="33" t="n">
        <f aca="false">SUM(P57:P66)</f>
        <v>426366.666666667</v>
      </c>
      <c r="Q67" s="33" t="n">
        <f aca="false">SUM(Q57:Q66)</f>
        <v>429700</v>
      </c>
      <c r="R67" s="33" t="n">
        <f aca="false">SUM(R57:R66)</f>
        <v>429700</v>
      </c>
      <c r="S67" s="33" t="n">
        <f aca="false">SUM(S57:S66)</f>
        <v>429700</v>
      </c>
      <c r="T67" s="33" t="n">
        <f aca="false">SUM(T57:T66)</f>
        <v>429700</v>
      </c>
      <c r="U67" s="33" t="n">
        <f aca="false">SUM(U57:U66)</f>
        <v>429700</v>
      </c>
      <c r="V67" s="33" t="n">
        <f aca="false">SUM(V57:V66)</f>
        <v>429700</v>
      </c>
      <c r="W67" s="33" t="n">
        <f aca="false">SUM(W57:W66)</f>
        <v>429700</v>
      </c>
      <c r="X67" s="33" t="n">
        <f aca="false">SUM(X57:X66)</f>
        <v>429700</v>
      </c>
      <c r="Y67" s="33" t="n">
        <f aca="false">SUM(Y57:Y66)</f>
        <v>429700</v>
      </c>
      <c r="Z67" s="33" t="n">
        <f aca="false">SUM(Z57:Z66)</f>
        <v>429700</v>
      </c>
      <c r="AA67" s="33" t="n">
        <f aca="false">SUM(AA57:AA66)</f>
        <v>429700</v>
      </c>
      <c r="AB67" s="33" t="n">
        <f aca="false">SUM(AB57:AB66)</f>
        <v>429700</v>
      </c>
      <c r="AC67" s="33" t="n">
        <f aca="false">SUM(AC57:AC66)</f>
        <v>429700</v>
      </c>
      <c r="AD67" s="33" t="n">
        <f aca="false">SUM(AD57:AD66)</f>
        <v>429700</v>
      </c>
      <c r="AE67" s="33" t="n">
        <f aca="false">SUM(AE57:AE66)</f>
        <v>429700</v>
      </c>
      <c r="AF67" s="33" t="n">
        <f aca="false">SUM(AF57:AF66)</f>
        <v>429700</v>
      </c>
      <c r="AG67" s="33" t="n">
        <f aca="false">SUM(AG57:AG66)</f>
        <v>429700</v>
      </c>
      <c r="AH67" s="33" t="n">
        <f aca="false">SUM(AH57:AH66)</f>
        <v>429700</v>
      </c>
      <c r="AI67" s="33" t="n">
        <f aca="false">SUM(AI57:AI66)</f>
        <v>429700</v>
      </c>
      <c r="AJ67" s="33" t="n">
        <f aca="false">SUM(AJ57:AJ66)</f>
        <v>429700</v>
      </c>
      <c r="AK67" s="33" t="n">
        <f aca="false">SUM(AK57:AK66)</f>
        <v>429700</v>
      </c>
      <c r="AL67" s="33" t="n">
        <f aca="false">SUM(AL57:AL66)</f>
        <v>429700</v>
      </c>
      <c r="AM67" s="33" t="n">
        <f aca="false">SUM(AM57:AM66)</f>
        <v>429700</v>
      </c>
      <c r="AN67" s="33" t="n">
        <f aca="false">SUM(AN57:AN66)</f>
        <v>429700</v>
      </c>
      <c r="AO67" s="33" t="n">
        <f aca="false">SUM(AO57:AO66)</f>
        <v>429700</v>
      </c>
    </row>
    <row r="68" customFormat="false" ht="15" hidden="false" customHeight="false" outlineLevel="0" collapsed="false">
      <c r="A68" s="21" t="s">
        <v>289</v>
      </c>
      <c r="B68" s="31"/>
      <c r="C68" s="31"/>
      <c r="D68" s="31"/>
      <c r="E68" s="31"/>
      <c r="F68" s="34" t="n">
        <f aca="false">SUM($F$67:F67)</f>
        <v>519408.333333333</v>
      </c>
      <c r="G68" s="34" t="n">
        <f aca="false">SUM($F$67:G67)</f>
        <v>1704658.33333333</v>
      </c>
      <c r="H68" s="34" t="n">
        <f aca="false">SUM($F$67:H67)</f>
        <v>2877325</v>
      </c>
      <c r="I68" s="34" t="n">
        <f aca="false">SUM($F$67:I67)</f>
        <v>3325941.66666667</v>
      </c>
      <c r="J68" s="34" t="n">
        <f aca="false">SUM($F$67:J67)</f>
        <v>3774808.33333333</v>
      </c>
      <c r="K68" s="34" t="n">
        <f aca="false">SUM($F$67:K67)</f>
        <v>4198675</v>
      </c>
      <c r="L68" s="34" t="n">
        <f aca="false">SUM($F$67:L67)</f>
        <v>4625041.66666667</v>
      </c>
      <c r="M68" s="34" t="n">
        <f aca="false">SUM($F$67:M67)</f>
        <v>5051408.33333333</v>
      </c>
      <c r="N68" s="34" t="n">
        <f aca="false">SUM($F$67:N67)</f>
        <v>5477775</v>
      </c>
      <c r="O68" s="34" t="n">
        <f aca="false">SUM($F$67:O67)</f>
        <v>5904141.66666667</v>
      </c>
      <c r="P68" s="34" t="n">
        <f aca="false">SUM($F$67:P67)</f>
        <v>6330508.33333333</v>
      </c>
      <c r="Q68" s="34" t="n">
        <f aca="false">SUM($F$67:Q67)</f>
        <v>6760208.33333333</v>
      </c>
      <c r="R68" s="34" t="n">
        <f aca="false">SUM($F$67:R67)</f>
        <v>7189908.33333333</v>
      </c>
      <c r="S68" s="34" t="n">
        <f aca="false">SUM($F$67:S67)</f>
        <v>7619608.33333333</v>
      </c>
      <c r="T68" s="34" t="n">
        <f aca="false">SUM($F$67:T67)</f>
        <v>8049308.33333333</v>
      </c>
      <c r="U68" s="34" t="n">
        <f aca="false">SUM($F$67:U67)</f>
        <v>8479008.33333333</v>
      </c>
      <c r="V68" s="34" t="n">
        <f aca="false">SUM($F$67:V67)</f>
        <v>8908708.33333333</v>
      </c>
      <c r="W68" s="34" t="n">
        <f aca="false">SUM($F$67:W67)</f>
        <v>9338408.33333333</v>
      </c>
      <c r="X68" s="34" t="n">
        <f aca="false">SUM($F$67:X67)</f>
        <v>9768108.33333333</v>
      </c>
      <c r="Y68" s="34" t="n">
        <f aca="false">SUM($F$67:Y67)</f>
        <v>10197808.3333333</v>
      </c>
      <c r="Z68" s="34" t="n">
        <f aca="false">SUM($F$67:Z67)</f>
        <v>10627508.3333333</v>
      </c>
      <c r="AA68" s="34" t="n">
        <f aca="false">SUM($F$67:AA67)</f>
        <v>11057208.3333333</v>
      </c>
      <c r="AB68" s="34" t="n">
        <f aca="false">SUM($F$67:AB67)</f>
        <v>11486908.3333333</v>
      </c>
      <c r="AC68" s="34" t="n">
        <f aca="false">SUM($F$67:AC67)</f>
        <v>11916608.3333333</v>
      </c>
      <c r="AD68" s="34" t="n">
        <f aca="false">SUM($F$67:AD67)</f>
        <v>12346308.3333333</v>
      </c>
      <c r="AE68" s="34" t="n">
        <f aca="false">SUM($F$67:AE67)</f>
        <v>12776008.3333333</v>
      </c>
      <c r="AF68" s="34" t="n">
        <f aca="false">SUM($F$67:AF67)</f>
        <v>13205708.3333333</v>
      </c>
      <c r="AG68" s="34" t="n">
        <f aca="false">SUM($F$67:AG67)</f>
        <v>13635408.3333333</v>
      </c>
      <c r="AH68" s="34" t="n">
        <f aca="false">SUM($F$67:AH67)</f>
        <v>14065108.3333333</v>
      </c>
      <c r="AI68" s="34" t="n">
        <f aca="false">SUM($F$67:AI67)</f>
        <v>14494808.3333333</v>
      </c>
      <c r="AJ68" s="34" t="n">
        <f aca="false">SUM($F$67:AJ67)</f>
        <v>14924508.3333333</v>
      </c>
      <c r="AK68" s="34" t="n">
        <f aca="false">SUM($F$67:AK67)</f>
        <v>15354208.3333333</v>
      </c>
      <c r="AL68" s="34" t="n">
        <f aca="false">SUM($F$67:AL67)</f>
        <v>15783908.3333333</v>
      </c>
      <c r="AM68" s="34" t="n">
        <f aca="false">SUM($F$67:AM67)</f>
        <v>16213608.3333333</v>
      </c>
      <c r="AN68" s="34" t="n">
        <f aca="false">SUM($F$67:AN67)</f>
        <v>16643308.3333333</v>
      </c>
      <c r="AO68" s="34" t="n">
        <f aca="false">SUM($F$67:AO67)</f>
        <v>17073008.3333333</v>
      </c>
    </row>
    <row r="69" customFormat="false" ht="15" hidden="false" customHeight="false" outlineLevel="0" collapsed="false">
      <c r="A69" s="21" t="s">
        <v>290</v>
      </c>
      <c r="B69" s="31"/>
      <c r="C69" s="31"/>
      <c r="D69" s="31"/>
      <c r="E69" s="22" t="n">
        <f aca="false">SUM(F69:AO69)</f>
        <v>3414601.66666667</v>
      </c>
      <c r="F69" s="34" t="n">
        <f aca="false">F67*ReservePct</f>
        <v>103881.666666667</v>
      </c>
      <c r="G69" s="34" t="n">
        <f aca="false">G67*ReservePct</f>
        <v>237050</v>
      </c>
      <c r="H69" s="34" t="n">
        <f aca="false">H67*ReservePct</f>
        <v>234533.333333333</v>
      </c>
      <c r="I69" s="34" t="n">
        <f aca="false">I67*ReservePct</f>
        <v>89723.3333333333</v>
      </c>
      <c r="J69" s="34" t="n">
        <f aca="false">J67*ReservePct</f>
        <v>89773.3333333333</v>
      </c>
      <c r="K69" s="34" t="n">
        <f aca="false">K67*ReservePct</f>
        <v>84773.3333333333</v>
      </c>
      <c r="L69" s="34" t="n">
        <f aca="false">L67*ReservePct</f>
        <v>85273.3333333333</v>
      </c>
      <c r="M69" s="34" t="n">
        <f aca="false">M67*ReservePct</f>
        <v>85273.3333333333</v>
      </c>
      <c r="N69" s="34" t="n">
        <f aca="false">N67*ReservePct</f>
        <v>85273.3333333333</v>
      </c>
      <c r="O69" s="34" t="n">
        <f aca="false">O67*ReservePct</f>
        <v>85273.3333333333</v>
      </c>
      <c r="P69" s="34" t="n">
        <f aca="false">P67*ReservePct</f>
        <v>85273.3333333333</v>
      </c>
      <c r="Q69" s="34" t="n">
        <f aca="false">Q67*ReservePct</f>
        <v>85940</v>
      </c>
      <c r="R69" s="34" t="n">
        <f aca="false">R67*ReservePct</f>
        <v>85940</v>
      </c>
      <c r="S69" s="34" t="n">
        <f aca="false">S67*ReservePct</f>
        <v>85940</v>
      </c>
      <c r="T69" s="34" t="n">
        <f aca="false">T67*ReservePct</f>
        <v>85940</v>
      </c>
      <c r="U69" s="34" t="n">
        <f aca="false">U67*ReservePct</f>
        <v>85940</v>
      </c>
      <c r="V69" s="34" t="n">
        <f aca="false">V67*ReservePct</f>
        <v>85940</v>
      </c>
      <c r="W69" s="34" t="n">
        <f aca="false">W67*ReservePct</f>
        <v>85940</v>
      </c>
      <c r="X69" s="34" t="n">
        <f aca="false">X67*ReservePct</f>
        <v>85940</v>
      </c>
      <c r="Y69" s="34" t="n">
        <f aca="false">Y67*ReservePct</f>
        <v>85940</v>
      </c>
      <c r="Z69" s="34" t="n">
        <f aca="false">Z67*ReservePct</f>
        <v>85940</v>
      </c>
      <c r="AA69" s="34" t="n">
        <f aca="false">AA67*ReservePct</f>
        <v>85940</v>
      </c>
      <c r="AB69" s="34" t="n">
        <f aca="false">AB67*ReservePct</f>
        <v>85940</v>
      </c>
      <c r="AC69" s="34" t="n">
        <f aca="false">AC67*ReservePct</f>
        <v>85940</v>
      </c>
      <c r="AD69" s="34" t="n">
        <f aca="false">AD67*ReservePct</f>
        <v>85940</v>
      </c>
      <c r="AE69" s="34" t="n">
        <f aca="false">AE67*ReservePct</f>
        <v>85940</v>
      </c>
      <c r="AF69" s="34" t="n">
        <f aca="false">AF67*ReservePct</f>
        <v>85940</v>
      </c>
      <c r="AG69" s="34" t="n">
        <f aca="false">AG67*ReservePct</f>
        <v>85940</v>
      </c>
      <c r="AH69" s="34" t="n">
        <f aca="false">AH67*ReservePct</f>
        <v>85940</v>
      </c>
      <c r="AI69" s="34" t="n">
        <f aca="false">AI67*ReservePct</f>
        <v>85940</v>
      </c>
      <c r="AJ69" s="34" t="n">
        <f aca="false">AJ67*ReservePct</f>
        <v>85940</v>
      </c>
      <c r="AK69" s="34" t="n">
        <f aca="false">AK67*ReservePct</f>
        <v>85940</v>
      </c>
      <c r="AL69" s="34" t="n">
        <f aca="false">AL67*ReservePct</f>
        <v>85940</v>
      </c>
      <c r="AM69" s="34" t="n">
        <f aca="false">AM67*ReservePct</f>
        <v>85940</v>
      </c>
      <c r="AN69" s="34" t="n">
        <f aca="false">AN67*ReservePct</f>
        <v>85940</v>
      </c>
      <c r="AO69" s="34" t="n">
        <f aca="false">AO67*ReservePct</f>
        <v>85940</v>
      </c>
    </row>
    <row r="70" customFormat="false" ht="15" hidden="false" customHeight="false" outlineLevel="0" collapsed="false">
      <c r="A70" s="21" t="s">
        <v>291</v>
      </c>
      <c r="B70" s="31"/>
      <c r="C70" s="31"/>
      <c r="D70" s="31"/>
      <c r="E70" s="31"/>
      <c r="F70" s="22" t="n">
        <f aca="false">F68+SUM($F$69:F69)</f>
        <v>623290</v>
      </c>
      <c r="G70" s="22" t="n">
        <f aca="false">G68+SUM($F$69:G69)</f>
        <v>2045590</v>
      </c>
      <c r="H70" s="22" t="n">
        <f aca="false">H68+SUM($F$69:H69)</f>
        <v>3452790</v>
      </c>
      <c r="I70" s="22" t="n">
        <f aca="false">I68+SUM($F$69:I69)</f>
        <v>3991130</v>
      </c>
      <c r="J70" s="22" t="n">
        <f aca="false">J68+SUM($F$69:J69)</f>
        <v>4529770</v>
      </c>
      <c r="K70" s="22" t="n">
        <f aca="false">K68+SUM($F$69:K69)</f>
        <v>5038410</v>
      </c>
      <c r="L70" s="22" t="n">
        <f aca="false">L68+SUM($F$69:L69)</f>
        <v>5550050</v>
      </c>
      <c r="M70" s="22" t="n">
        <f aca="false">M68+SUM($F$69:M69)</f>
        <v>6061690</v>
      </c>
      <c r="N70" s="22" t="n">
        <f aca="false">N68+SUM($F$69:N69)</f>
        <v>6573330</v>
      </c>
      <c r="O70" s="22" t="n">
        <f aca="false">O68+SUM($F$69:O69)</f>
        <v>7084970</v>
      </c>
      <c r="P70" s="22" t="n">
        <f aca="false">P68+SUM($F$69:P69)</f>
        <v>7596610</v>
      </c>
      <c r="Q70" s="22" t="n">
        <f aca="false">Q68+SUM($F$69:Q69)</f>
        <v>8112250</v>
      </c>
      <c r="R70" s="22" t="n">
        <f aca="false">R68+SUM($F$69:R69)</f>
        <v>8627890</v>
      </c>
      <c r="S70" s="22" t="n">
        <f aca="false">S68+SUM($F$69:S69)</f>
        <v>9143530</v>
      </c>
      <c r="T70" s="22" t="n">
        <f aca="false">T68+SUM($F$69:T69)</f>
        <v>9659170</v>
      </c>
      <c r="U70" s="22" t="n">
        <f aca="false">U68+SUM($F$69:U69)</f>
        <v>10174810</v>
      </c>
      <c r="V70" s="22" t="n">
        <f aca="false">V68+SUM($F$69:V69)</f>
        <v>10690450</v>
      </c>
      <c r="W70" s="22" t="n">
        <f aca="false">W68+SUM($F$69:W69)</f>
        <v>11206090</v>
      </c>
      <c r="X70" s="22" t="n">
        <f aca="false">X68+SUM($F$69:X69)</f>
        <v>11721730</v>
      </c>
      <c r="Y70" s="22" t="n">
        <f aca="false">Y68+SUM($F$69:Y69)</f>
        <v>12237370</v>
      </c>
      <c r="Z70" s="22" t="n">
        <f aca="false">Z68+SUM($F$69:Z69)</f>
        <v>12753010</v>
      </c>
      <c r="AA70" s="22" t="n">
        <f aca="false">AA68+SUM($F$69:AA69)</f>
        <v>13268650</v>
      </c>
      <c r="AB70" s="22" t="n">
        <f aca="false">AB68+SUM($F$69:AB69)</f>
        <v>13784290</v>
      </c>
      <c r="AC70" s="22" t="n">
        <f aca="false">AC68+SUM($F$69:AC69)</f>
        <v>14299930</v>
      </c>
      <c r="AD70" s="22" t="n">
        <f aca="false">AD68+SUM($F$69:AD69)</f>
        <v>14815570</v>
      </c>
      <c r="AE70" s="22" t="n">
        <f aca="false">AE68+SUM($F$69:AE69)</f>
        <v>15331210</v>
      </c>
      <c r="AF70" s="22" t="n">
        <f aca="false">AF68+SUM($F$69:AF69)</f>
        <v>15846850</v>
      </c>
      <c r="AG70" s="22" t="n">
        <f aca="false">AG68+SUM($F$69:AG69)</f>
        <v>16362490</v>
      </c>
      <c r="AH70" s="22" t="n">
        <f aca="false">AH68+SUM($F$69:AH69)</f>
        <v>16878130</v>
      </c>
      <c r="AI70" s="22" t="n">
        <f aca="false">AI68+SUM($F$69:AI69)</f>
        <v>17393770</v>
      </c>
      <c r="AJ70" s="22" t="n">
        <f aca="false">AJ68+SUM($F$69:AJ69)</f>
        <v>17909410</v>
      </c>
      <c r="AK70" s="22" t="n">
        <f aca="false">AK68+SUM($F$69:AK69)</f>
        <v>18425050</v>
      </c>
      <c r="AL70" s="22" t="n">
        <f aca="false">AL68+SUM($F$69:AL69)</f>
        <v>18940690</v>
      </c>
      <c r="AM70" s="22" t="n">
        <f aca="false">AM68+SUM($F$69:AM69)</f>
        <v>19456330</v>
      </c>
      <c r="AN70" s="22" t="n">
        <f aca="false">AN68+SUM($F$69:AN69)</f>
        <v>19971970</v>
      </c>
      <c r="AO70" s="22" t="n">
        <f aca="false">AO68+SUM($F$69:AO69)</f>
        <v>20487610</v>
      </c>
    </row>
    <row r="71" customFormat="false" ht="15" hidden="false" customHeight="false" outlineLevel="0" collapsed="false">
      <c r="A71" s="21" t="s">
        <v>292</v>
      </c>
      <c r="B71" s="31"/>
      <c r="C71" s="31"/>
      <c r="D71" s="31"/>
      <c r="E71" s="31"/>
      <c r="F71" s="34" t="n">
        <f aca="false">RaiseSize-F68</f>
        <v>19968201.6666667</v>
      </c>
      <c r="G71" s="34" t="n">
        <f aca="false">RaiseSize-G68</f>
        <v>18782951.6666667</v>
      </c>
      <c r="H71" s="34" t="n">
        <f aca="false">RaiseSize-H68</f>
        <v>17610285</v>
      </c>
      <c r="I71" s="34" t="n">
        <f aca="false">RaiseSize-I68</f>
        <v>17161668.3333333</v>
      </c>
      <c r="J71" s="34" t="n">
        <f aca="false">RaiseSize-J68</f>
        <v>16712801.6666667</v>
      </c>
      <c r="K71" s="34" t="n">
        <f aca="false">RaiseSize-K68</f>
        <v>16288935</v>
      </c>
      <c r="L71" s="34" t="n">
        <f aca="false">RaiseSize-L68</f>
        <v>15862568.3333333</v>
      </c>
      <c r="M71" s="34" t="n">
        <f aca="false">RaiseSize-M68</f>
        <v>15436201.6666667</v>
      </c>
      <c r="N71" s="34" t="n">
        <f aca="false">RaiseSize-N68</f>
        <v>15009835</v>
      </c>
      <c r="O71" s="34" t="n">
        <f aca="false">RaiseSize-O68</f>
        <v>14583468.3333333</v>
      </c>
      <c r="P71" s="34" t="n">
        <f aca="false">RaiseSize-P68</f>
        <v>14157101.6666667</v>
      </c>
      <c r="Q71" s="34" t="n">
        <f aca="false">RaiseSize-Q68</f>
        <v>13727401.6666667</v>
      </c>
      <c r="R71" s="34" t="n">
        <f aca="false">RaiseSize-R68</f>
        <v>13297701.6666667</v>
      </c>
      <c r="S71" s="34" t="n">
        <f aca="false">RaiseSize-S68</f>
        <v>12868001.6666667</v>
      </c>
      <c r="T71" s="34" t="n">
        <f aca="false">RaiseSize-T68</f>
        <v>12438301.6666667</v>
      </c>
      <c r="U71" s="34" t="n">
        <f aca="false">RaiseSize-U68</f>
        <v>12008601.6666667</v>
      </c>
      <c r="V71" s="34" t="n">
        <f aca="false">RaiseSize-V68</f>
        <v>11578901.6666667</v>
      </c>
      <c r="W71" s="34" t="n">
        <f aca="false">RaiseSize-W68</f>
        <v>11149201.6666667</v>
      </c>
      <c r="X71" s="34" t="n">
        <f aca="false">RaiseSize-X68</f>
        <v>10719501.6666667</v>
      </c>
      <c r="Y71" s="34" t="n">
        <f aca="false">RaiseSize-Y68</f>
        <v>10289801.6666667</v>
      </c>
      <c r="Z71" s="34" t="n">
        <f aca="false">RaiseSize-Z68</f>
        <v>9860101.66666667</v>
      </c>
      <c r="AA71" s="34" t="n">
        <f aca="false">RaiseSize-AA68</f>
        <v>9430401.66666667</v>
      </c>
      <c r="AB71" s="34" t="n">
        <f aca="false">RaiseSize-AB68</f>
        <v>9000701.66666667</v>
      </c>
      <c r="AC71" s="34" t="n">
        <f aca="false">RaiseSize-AC68</f>
        <v>8571001.66666667</v>
      </c>
      <c r="AD71" s="34" t="n">
        <f aca="false">RaiseSize-AD68</f>
        <v>8141301.66666667</v>
      </c>
      <c r="AE71" s="34" t="n">
        <f aca="false">RaiseSize-AE68</f>
        <v>7711601.66666667</v>
      </c>
      <c r="AF71" s="34" t="n">
        <f aca="false">RaiseSize-AF68</f>
        <v>7281901.66666667</v>
      </c>
      <c r="AG71" s="34" t="n">
        <f aca="false">RaiseSize-AG68</f>
        <v>6852201.66666667</v>
      </c>
      <c r="AH71" s="34" t="n">
        <f aca="false">RaiseSize-AH68</f>
        <v>6422501.66666667</v>
      </c>
      <c r="AI71" s="34" t="n">
        <f aca="false">RaiseSize-AI68</f>
        <v>5992801.66666667</v>
      </c>
      <c r="AJ71" s="34" t="n">
        <f aca="false">RaiseSize-AJ68</f>
        <v>5563101.66666667</v>
      </c>
      <c r="AK71" s="34" t="n">
        <f aca="false">RaiseSize-AK68</f>
        <v>5133401.66666667</v>
      </c>
      <c r="AL71" s="34" t="n">
        <f aca="false">RaiseSize-AL68</f>
        <v>4703701.66666667</v>
      </c>
      <c r="AM71" s="34" t="n">
        <f aca="false">RaiseSize-AM68</f>
        <v>4274001.66666667</v>
      </c>
      <c r="AN71" s="34" t="n">
        <f aca="false">RaiseSize-AN68</f>
        <v>3844301.66666667</v>
      </c>
      <c r="AO71" s="34" t="n">
        <f aca="false">RaiseSize-AO68</f>
        <v>3414601.66666667</v>
      </c>
    </row>
    <row r="72" customFormat="false" ht="15" hidden="false" customHeight="false" outlineLevel="0" collapsed="false">
      <c r="A72" s="21" t="s">
        <v>293</v>
      </c>
      <c r="B72" s="31"/>
      <c r="C72" s="31"/>
      <c r="D72" s="31"/>
      <c r="E72" s="22" t="n">
        <f aca="false">SUM(E8:E54)-E67</f>
        <v>0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6" min="5" style="0" width="1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5" t="s">
        <v>294</v>
      </c>
    </row>
    <row r="2" customFormat="false" ht="15" hidden="false" customHeight="false" outlineLevel="0" collapsed="false">
      <c r="A2" s="23" t="s">
        <v>276</v>
      </c>
      <c r="B2" s="24" t="str">
        <f aca="false">ScenarioName</f>
        <v>Base</v>
      </c>
    </row>
    <row r="4" customFormat="false" ht="15" hidden="false" customHeight="false" outlineLevel="0" collapsed="false">
      <c r="B4" s="23" t="s">
        <v>295</v>
      </c>
      <c r="C4" s="20" t="n">
        <f aca="false">Monthly!E67</f>
        <v>17073008.3333333</v>
      </c>
    </row>
    <row r="5" customFormat="false" ht="15" hidden="false" customHeight="false" outlineLevel="0" collapsed="false">
      <c r="B5" s="23" t="s">
        <v>296</v>
      </c>
      <c r="C5" s="17" t="n">
        <f aca="false">C4*ReservePct</f>
        <v>3414601.66666667</v>
      </c>
      <c r="D5" s="35" t="n">
        <f aca="false">ReservePct</f>
        <v>0.2</v>
      </c>
    </row>
    <row r="6" customFormat="false" ht="15" hidden="false" customHeight="false" outlineLevel="0" collapsed="false">
      <c r="B6" s="23" t="s">
        <v>297</v>
      </c>
      <c r="C6" s="32" t="n">
        <f aca="false">C4+C5</f>
        <v>20487610</v>
      </c>
    </row>
    <row r="8" customFormat="false" ht="15" hidden="false" customHeight="false" outlineLevel="0" collapsed="false">
      <c r="A8" s="7"/>
      <c r="B8" s="7" t="s">
        <v>161</v>
      </c>
      <c r="C8" s="7" t="s">
        <v>298</v>
      </c>
      <c r="D8" s="7" t="s">
        <v>299</v>
      </c>
      <c r="E8" s="7" t="s">
        <v>300</v>
      </c>
      <c r="F8" s="7" t="s">
        <v>301</v>
      </c>
      <c r="G8" s="7" t="s">
        <v>302</v>
      </c>
    </row>
    <row r="9" customFormat="false" ht="15" hidden="false" customHeight="false" outlineLevel="0" collapsed="false">
      <c r="B9" s="8" t="s">
        <v>283</v>
      </c>
      <c r="C9" s="20" t="n">
        <f aca="false">SUM(Monthly!F57:Q57)</f>
        <v>2220708.33333333</v>
      </c>
      <c r="D9" s="20" t="n">
        <f aca="false">SUM(Monthly!R57:AC57)</f>
        <v>2342400</v>
      </c>
      <c r="E9" s="20" t="n">
        <f aca="false">SUM(Monthly!AD57:AO57)</f>
        <v>2342400</v>
      </c>
      <c r="F9" s="17" t="n">
        <f aca="false">SUM(C9:E9)</f>
        <v>6905508.33333333</v>
      </c>
      <c r="G9" s="36" t="n">
        <f aca="false">IF($F$19=0,0,F9/$F$19)</f>
        <v>0.404469335369035</v>
      </c>
    </row>
    <row r="10" customFormat="false" ht="15" hidden="false" customHeight="false" outlineLevel="0" collapsed="false">
      <c r="B10" s="8" t="s">
        <v>287</v>
      </c>
      <c r="C10" s="20" t="n">
        <f aca="false">SUM(Monthly!F58:Q58)</f>
        <v>1126666.66666667</v>
      </c>
      <c r="D10" s="20" t="n">
        <f aca="false">SUM(Monthly!R58:AC58)</f>
        <v>1210000</v>
      </c>
      <c r="E10" s="20" t="n">
        <f aca="false">SUM(Monthly!AD58:AO58)</f>
        <v>1210000</v>
      </c>
      <c r="F10" s="17" t="n">
        <f aca="false">SUM(C10:E10)</f>
        <v>3546666.66666667</v>
      </c>
      <c r="G10" s="36" t="n">
        <f aca="false">IF($F$19=0,0,F10/$F$19)</f>
        <v>0.207735309291811</v>
      </c>
    </row>
    <row r="11" customFormat="false" ht="15" hidden="false" customHeight="false" outlineLevel="0" collapsed="false">
      <c r="B11" s="8" t="s">
        <v>172</v>
      </c>
      <c r="C11" s="20" t="n">
        <f aca="false">SUM(Monthly!F59:Q59)</f>
        <v>636500</v>
      </c>
      <c r="D11" s="20" t="n">
        <f aca="false">SUM(Monthly!R59:AC59)</f>
        <v>318000</v>
      </c>
      <c r="E11" s="20" t="n">
        <f aca="false">SUM(Monthly!AD59:AO59)</f>
        <v>318000</v>
      </c>
      <c r="F11" s="17" t="n">
        <f aca="false">SUM(C11:E11)</f>
        <v>1272500</v>
      </c>
      <c r="G11" s="36" t="n">
        <f aca="false">IF($F$19=0,0,F11/$F$19)</f>
        <v>0.0745328518065309</v>
      </c>
    </row>
    <row r="12" customFormat="false" ht="15" hidden="false" customHeight="false" outlineLevel="0" collapsed="false">
      <c r="B12" s="8" t="s">
        <v>190</v>
      </c>
      <c r="C12" s="20" t="n">
        <f aca="false">SUM(Monthly!F60:Q60)</f>
        <v>1255000</v>
      </c>
      <c r="D12" s="20" t="n">
        <f aca="false">SUM(Monthly!R60:AC60)</f>
        <v>70000</v>
      </c>
      <c r="E12" s="20" t="n">
        <f aca="false">SUM(Monthly!AD60:AO60)</f>
        <v>70000</v>
      </c>
      <c r="F12" s="17" t="n">
        <f aca="false">SUM(C12:E12)</f>
        <v>1395000</v>
      </c>
      <c r="G12" s="36" t="n">
        <f aca="false">IF($F$19=0,0,F12/$F$19)</f>
        <v>0.0817079200550967</v>
      </c>
    </row>
    <row r="13" customFormat="false" ht="15" hidden="false" customHeight="false" outlineLevel="0" collapsed="false">
      <c r="B13" s="8" t="s">
        <v>206</v>
      </c>
      <c r="C13" s="20" t="n">
        <f aca="false">SUM(Monthly!F61:Q61)</f>
        <v>196000</v>
      </c>
      <c r="D13" s="20" t="n">
        <f aca="false">SUM(Monthly!R61:AC61)</f>
        <v>216000</v>
      </c>
      <c r="E13" s="20" t="n">
        <f aca="false">SUM(Monthly!AD61:AO61)</f>
        <v>216000</v>
      </c>
      <c r="F13" s="17" t="n">
        <f aca="false">SUM(C13:E13)</f>
        <v>628000</v>
      </c>
      <c r="G13" s="36" t="n">
        <f aca="false">IF($F$19=0,0,F13/$F$19)</f>
        <v>0.0367832070212192</v>
      </c>
    </row>
    <row r="14" customFormat="false" ht="15" hidden="false" customHeight="false" outlineLevel="0" collapsed="false">
      <c r="B14" s="8" t="s">
        <v>213</v>
      </c>
      <c r="C14" s="20" t="n">
        <f aca="false">SUM(Monthly!F62:Q62)</f>
        <v>233000</v>
      </c>
      <c r="D14" s="20" t="n">
        <f aca="false">SUM(Monthly!R62:AC62)</f>
        <v>336000</v>
      </c>
      <c r="E14" s="20" t="n">
        <f aca="false">SUM(Monthly!AD62:AO62)</f>
        <v>336000</v>
      </c>
      <c r="F14" s="17" t="n">
        <f aca="false">SUM(C14:E14)</f>
        <v>905000</v>
      </c>
      <c r="G14" s="36" t="n">
        <f aca="false">IF($F$19=0,0,F14/$F$19)</f>
        <v>0.0530076470608334</v>
      </c>
    </row>
    <row r="15" customFormat="false" ht="15" hidden="false" customHeight="false" outlineLevel="0" collapsed="false">
      <c r="B15" s="8" t="s">
        <v>222</v>
      </c>
      <c r="C15" s="20" t="n">
        <f aca="false">SUM(Monthly!F63:Q63)</f>
        <v>375000</v>
      </c>
      <c r="D15" s="20" t="n">
        <f aca="false">SUM(Monthly!R63:AC63)</f>
        <v>240000</v>
      </c>
      <c r="E15" s="20" t="n">
        <f aca="false">SUM(Monthly!AD63:AO63)</f>
        <v>240000</v>
      </c>
      <c r="F15" s="17" t="n">
        <f aca="false">SUM(C15:E15)</f>
        <v>855000</v>
      </c>
      <c r="G15" s="36" t="n">
        <f aca="false">IF($F$19=0,0,F15/$F$19)</f>
        <v>0.0500790477757044</v>
      </c>
    </row>
    <row r="16" customFormat="false" ht="15" hidden="false" customHeight="false" outlineLevel="0" collapsed="false">
      <c r="B16" s="8" t="s">
        <v>237</v>
      </c>
      <c r="C16" s="20" t="n">
        <f aca="false">SUM(Monthly!F64:Q64)</f>
        <v>261333.333333333</v>
      </c>
      <c r="D16" s="20" t="n">
        <f aca="false">SUM(Monthly!R64:AC64)</f>
        <v>238000</v>
      </c>
      <c r="E16" s="20" t="n">
        <f aca="false">SUM(Monthly!AD64:AO64)</f>
        <v>238000</v>
      </c>
      <c r="F16" s="17" t="n">
        <f aca="false">SUM(C16:E16)</f>
        <v>737333.333333333</v>
      </c>
      <c r="G16" s="36" t="n">
        <f aca="false">IF($F$19=0,0,F16/$F$19)</f>
        <v>0.0431870774580344</v>
      </c>
    </row>
    <row r="17" customFormat="false" ht="15" hidden="false" customHeight="false" outlineLevel="0" collapsed="false">
      <c r="B17" s="8" t="s">
        <v>250</v>
      </c>
      <c r="C17" s="20" t="n">
        <f aca="false">SUM(Monthly!F65:Q65)</f>
        <v>456000</v>
      </c>
      <c r="D17" s="20" t="n">
        <f aca="false">SUM(Monthly!R65:AC65)</f>
        <v>186000</v>
      </c>
      <c r="E17" s="20" t="n">
        <f aca="false">SUM(Monthly!AD65:AO65)</f>
        <v>186000</v>
      </c>
      <c r="F17" s="17" t="n">
        <f aca="false">SUM(C17:E17)</f>
        <v>828000</v>
      </c>
      <c r="G17" s="36" t="n">
        <f aca="false">IF($F$19=0,0,F17/$F$19)</f>
        <v>0.0484976041617348</v>
      </c>
    </row>
    <row r="18" customFormat="false" ht="15" hidden="false" customHeight="false" outlineLevel="0" collapsed="false">
      <c r="B18" s="8" t="s">
        <v>270</v>
      </c>
      <c r="C18" s="20" t="n">
        <f aca="false">SUM(Monthly!F66:Q66)</f>
        <v>0</v>
      </c>
      <c r="D18" s="20" t="n">
        <f aca="false">SUM(Monthly!R66:AC66)</f>
        <v>0</v>
      </c>
      <c r="E18" s="20" t="n">
        <f aca="false">SUM(Monthly!AD66:AO66)</f>
        <v>0</v>
      </c>
      <c r="F18" s="17" t="n">
        <f aca="false">SUM(C18:E18)</f>
        <v>0</v>
      </c>
      <c r="G18" s="36" t="n">
        <f aca="false">IF($F$19=0,0,F18/$F$19)</f>
        <v>0</v>
      </c>
    </row>
    <row r="19" customFormat="false" ht="15" hidden="false" customHeight="false" outlineLevel="0" collapsed="false">
      <c r="B19" s="21" t="s">
        <v>288</v>
      </c>
      <c r="C19" s="22" t="n">
        <f aca="false">SUM(C9:C18)</f>
        <v>6760208.33333333</v>
      </c>
      <c r="D19" s="22" t="n">
        <f aca="false">SUM(D9:D18)</f>
        <v>5156400</v>
      </c>
      <c r="E19" s="22" t="n">
        <f aca="false">SUM(E9:E18)</f>
        <v>5156400</v>
      </c>
      <c r="F19" s="22" t="n">
        <f aca="false">SUM(F9:F18)</f>
        <v>17073008.3333333</v>
      </c>
      <c r="G19" s="37" t="n">
        <f aca="false">IF(F19=0,0,SUM(G9:G18))</f>
        <v>1</v>
      </c>
    </row>
    <row r="20" customFormat="false" ht="15" hidden="false" customHeight="false" outlineLevel="0" collapsed="false">
      <c r="B20" s="8" t="s">
        <v>303</v>
      </c>
      <c r="F20" s="17" t="n">
        <f aca="false">C5</f>
        <v>3414601.66666667</v>
      </c>
    </row>
    <row r="21" customFormat="false" ht="15" hidden="false" customHeight="false" outlineLevel="0" collapsed="false">
      <c r="B21" s="23" t="s">
        <v>304</v>
      </c>
      <c r="F21" s="32" t="n">
        <f aca="false">C6</f>
        <v>20487610</v>
      </c>
    </row>
    <row r="23" customFormat="false" ht="23.85" hidden="false" customHeight="false" outlineLevel="0" collapsed="false">
      <c r="A23" s="7"/>
      <c r="B23" s="7" t="s">
        <v>305</v>
      </c>
      <c r="C23" s="7" t="s">
        <v>279</v>
      </c>
      <c r="D23" s="7" t="s">
        <v>306</v>
      </c>
      <c r="E23" s="7" t="s">
        <v>307</v>
      </c>
      <c r="F23" s="7" t="s">
        <v>308</v>
      </c>
    </row>
    <row r="24" customFormat="false" ht="15" hidden="false" customHeight="false" outlineLevel="0" collapsed="false">
      <c r="B24" s="8" t="s">
        <v>309</v>
      </c>
      <c r="C24" s="38" t="n">
        <f aca="false">Gate1</f>
        <v>9</v>
      </c>
      <c r="D24" s="20" t="n">
        <f aca="false">INDEX(Monthly!$F$70:$AO$70,1,C24)</f>
        <v>6573330</v>
      </c>
      <c r="E24" s="17" t="n">
        <f aca="false">D24</f>
        <v>6573330</v>
      </c>
      <c r="F24" s="38" t="n">
        <f aca="false">COUNTIF(Headcount!$M$4:$M$21,"&lt;="&amp;C24)</f>
        <v>18</v>
      </c>
    </row>
    <row r="25" customFormat="false" ht="15" hidden="false" customHeight="false" outlineLevel="0" collapsed="false">
      <c r="B25" s="8" t="s">
        <v>310</v>
      </c>
      <c r="C25" s="38" t="n">
        <f aca="false">Gate2</f>
        <v>21</v>
      </c>
      <c r="D25" s="20" t="n">
        <f aca="false">INDEX(Monthly!$F$70:$AO$70,1,C25)</f>
        <v>12753010</v>
      </c>
      <c r="E25" s="17" t="n">
        <f aca="false">D25-D24</f>
        <v>6179680</v>
      </c>
      <c r="F25" s="38" t="n">
        <f aca="false">COUNTIF(Headcount!$M$4:$M$21,"&lt;="&amp;C25)</f>
        <v>18</v>
      </c>
    </row>
    <row r="26" customFormat="false" ht="15" hidden="false" customHeight="false" outlineLevel="0" collapsed="false">
      <c r="B26" s="8" t="s">
        <v>311</v>
      </c>
      <c r="C26" s="38" t="n">
        <f aca="false">Gate3</f>
        <v>36</v>
      </c>
      <c r="D26" s="20" t="n">
        <f aca="false">INDEX(Monthly!$F$70:$AO$70,1,C26)</f>
        <v>20487610</v>
      </c>
      <c r="E26" s="17" t="n">
        <f aca="false">D26-D25</f>
        <v>7734600</v>
      </c>
      <c r="F26" s="38" t="n">
        <f aca="false">COUNTIF(Headcount!$M$4:$M$21,"&lt;="&amp;C26)</f>
        <v>18</v>
      </c>
    </row>
    <row r="27" customFormat="false" ht="15" hidden="false" customHeight="false" outlineLevel="0" collapsed="false">
      <c r="B27" s="6" t="s">
        <v>312</v>
      </c>
    </row>
    <row r="29" customFormat="false" ht="15" hidden="false" customHeight="false" outlineLevel="0" collapsed="false">
      <c r="A29" s="7"/>
      <c r="B29" s="7" t="s">
        <v>313</v>
      </c>
      <c r="C29" s="7" t="s">
        <v>314</v>
      </c>
      <c r="D29" s="7" t="s">
        <v>302</v>
      </c>
    </row>
    <row r="30" customFormat="false" ht="15" hidden="false" customHeight="false" outlineLevel="0" collapsed="false">
      <c r="B30" s="8" t="s">
        <v>315</v>
      </c>
      <c r="C30" s="20" t="n">
        <f aca="false">SUMIF(CostLines!$F$4:$F$30,"One-time",CostLines!$Q$4:$Q$30)+Monthly!E26</f>
        <v>2145000</v>
      </c>
      <c r="D30" s="36" t="n">
        <f aca="false">IF($C$4=0,0,C30/$C$4)</f>
        <v>0.12563690933203</v>
      </c>
    </row>
    <row r="31" customFormat="false" ht="15" hidden="false" customHeight="false" outlineLevel="0" collapsed="false">
      <c r="B31" s="8" t="s">
        <v>316</v>
      </c>
      <c r="C31" s="17" t="n">
        <f aca="false">C4-C30</f>
        <v>14928008.3333333</v>
      </c>
      <c r="D31" s="36" t="n">
        <f aca="false">IF($C$4=0,0,C31/$C$4)</f>
        <v>0.87436309066797</v>
      </c>
    </row>
    <row r="33" customFormat="false" ht="15" hidden="false" customHeight="false" outlineLevel="0" collapsed="false">
      <c r="A33" s="7"/>
      <c r="B33" s="7" t="s">
        <v>317</v>
      </c>
      <c r="C33" s="7" t="s">
        <v>318</v>
      </c>
      <c r="D33" s="7" t="s">
        <v>319</v>
      </c>
      <c r="E33" s="7" t="s">
        <v>320</v>
      </c>
      <c r="F33" s="7" t="s">
        <v>321</v>
      </c>
    </row>
    <row r="34" customFormat="false" ht="15" hidden="false" customHeight="false" outlineLevel="0" collapsed="false">
      <c r="B34" s="8" t="s">
        <v>322</v>
      </c>
      <c r="C34" s="38" t="n">
        <f aca="false">COUNTIF(Headcount!$M$4:$M$21,"&lt;="&amp;6)</f>
        <v>18</v>
      </c>
      <c r="D34" s="38" t="n">
        <f aca="false">COUNTIF(Headcount!$M$4:$M$21,"&lt;="&amp;12)</f>
        <v>18</v>
      </c>
      <c r="E34" s="38" t="n">
        <f aca="false">COUNTIF(Headcount!$M$4:$M$21,"&lt;="&amp;24)</f>
        <v>18</v>
      </c>
      <c r="F34" s="38" t="n">
        <f aca="false">COUNTIF(Headcount!$M$4:$M$21,"&lt;="&amp;36)</f>
        <v>18</v>
      </c>
    </row>
    <row r="35" customFormat="false" ht="15" hidden="false" customHeight="false" outlineLevel="0" collapsed="false">
      <c r="B35" s="8" t="s">
        <v>323</v>
      </c>
      <c r="C35" s="20" t="n">
        <f aca="false">Monthly!K67</f>
        <v>423866.666666667</v>
      </c>
      <c r="D35" s="20" t="n">
        <f aca="false">Monthly!Q67</f>
        <v>429700</v>
      </c>
      <c r="E35" s="20" t="n">
        <f aca="false">Monthly!AC67</f>
        <v>429700</v>
      </c>
      <c r="F35" s="20" t="n">
        <f aca="false">Monthly!AO67</f>
        <v>429700</v>
      </c>
    </row>
    <row r="37" customFormat="false" ht="15" hidden="false" customHeight="false" outlineLevel="0" collapsed="false">
      <c r="A37" s="7"/>
      <c r="B37" s="7" t="s">
        <v>324</v>
      </c>
      <c r="C37" s="7" t="s">
        <v>33</v>
      </c>
    </row>
    <row r="38" customFormat="false" ht="15" hidden="false" customHeight="false" outlineLevel="0" collapsed="false">
      <c r="B38" s="8" t="s">
        <v>325</v>
      </c>
      <c r="C38" s="20" t="n">
        <f aca="false">SUM(Pivot_Data!G:G)-C4</f>
        <v>0</v>
      </c>
    </row>
    <row r="39" customFormat="false" ht="15" hidden="false" customHeight="false" outlineLevel="0" collapsed="false">
      <c r="B39" s="8" t="s">
        <v>326</v>
      </c>
      <c r="C39" s="20" t="n">
        <f aca="false">Monthly!E72</f>
        <v>0</v>
      </c>
    </row>
    <row r="40" customFormat="false" ht="15" hidden="false" customHeight="false" outlineLevel="0" collapsed="false">
      <c r="B40" s="8" t="s">
        <v>327</v>
      </c>
      <c r="C40" s="20" t="n">
        <f aca="false">CostLines!Q31+Headcount!O22-C4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7" t="s">
        <v>328</v>
      </c>
      <c r="B1" s="7" t="s">
        <v>279</v>
      </c>
      <c r="C1" s="7" t="s">
        <v>76</v>
      </c>
      <c r="D1" s="7" t="s">
        <v>161</v>
      </c>
      <c r="E1" s="7" t="s">
        <v>162</v>
      </c>
      <c r="F1" s="7" t="s">
        <v>278</v>
      </c>
      <c r="G1" s="7" t="s">
        <v>314</v>
      </c>
      <c r="H1" s="7" t="s">
        <v>329</v>
      </c>
    </row>
    <row r="2" customFormat="false" ht="15" hidden="false" customHeight="false" outlineLevel="0" collapsed="false">
      <c r="A2" s="8" t="n">
        <v>1</v>
      </c>
      <c r="B2" s="39" t="n">
        <f aca="false">EDATE(StartDate,A2-1)</f>
        <v>46388</v>
      </c>
      <c r="C2" s="24" t="str">
        <f aca="false">Monthly!$B$8</f>
        <v>EnergyWave, Inc.</v>
      </c>
      <c r="D2" s="24" t="str">
        <f aca="false">Monthly!$C$8</f>
        <v>Payroll</v>
      </c>
      <c r="E2" s="24" t="str">
        <f aca="false">Monthly!$D$8</f>
        <v>Salary &amp; load</v>
      </c>
      <c r="F2" s="24" t="str">
        <f aca="false">Monthly!$A$8</f>
        <v>Founder &amp; CEO</v>
      </c>
      <c r="G2" s="20" t="n">
        <f aca="false">Monthly!F$8</f>
        <v>24400</v>
      </c>
      <c r="H2" s="24" t="str">
        <f aca="false">ScenarioName</f>
        <v>Base</v>
      </c>
    </row>
    <row r="3" customFormat="false" ht="15" hidden="false" customHeight="false" outlineLevel="0" collapsed="false">
      <c r="A3" s="8" t="n">
        <v>2</v>
      </c>
      <c r="B3" s="39" t="n">
        <f aca="false">EDATE(StartDate,A3-1)</f>
        <v>46419</v>
      </c>
      <c r="C3" s="24" t="str">
        <f aca="false">Monthly!$B$8</f>
        <v>EnergyWave, Inc.</v>
      </c>
      <c r="D3" s="24" t="str">
        <f aca="false">Monthly!$C$8</f>
        <v>Payroll</v>
      </c>
      <c r="E3" s="24" t="str">
        <f aca="false">Monthly!$D$8</f>
        <v>Salary &amp; load</v>
      </c>
      <c r="F3" s="24" t="str">
        <f aca="false">Monthly!$A$8</f>
        <v>Founder &amp; CEO</v>
      </c>
      <c r="G3" s="20" t="n">
        <f aca="false">Monthly!G$8</f>
        <v>24400</v>
      </c>
      <c r="H3" s="24" t="str">
        <f aca="false">ScenarioName</f>
        <v>Base</v>
      </c>
    </row>
    <row r="4" customFormat="false" ht="15" hidden="false" customHeight="false" outlineLevel="0" collapsed="false">
      <c r="A4" s="8" t="n">
        <v>3</v>
      </c>
      <c r="B4" s="39" t="n">
        <f aca="false">EDATE(StartDate,A4-1)</f>
        <v>46447</v>
      </c>
      <c r="C4" s="24" t="str">
        <f aca="false">Monthly!$B$8</f>
        <v>EnergyWave, Inc.</v>
      </c>
      <c r="D4" s="24" t="str">
        <f aca="false">Monthly!$C$8</f>
        <v>Payroll</v>
      </c>
      <c r="E4" s="24" t="str">
        <f aca="false">Monthly!$D$8</f>
        <v>Salary &amp; load</v>
      </c>
      <c r="F4" s="24" t="str">
        <f aca="false">Monthly!$A$8</f>
        <v>Founder &amp; CEO</v>
      </c>
      <c r="G4" s="20" t="n">
        <f aca="false">Monthly!H$8</f>
        <v>24400</v>
      </c>
      <c r="H4" s="24" t="str">
        <f aca="false">ScenarioName</f>
        <v>Base</v>
      </c>
    </row>
    <row r="5" customFormat="false" ht="15" hidden="false" customHeight="false" outlineLevel="0" collapsed="false">
      <c r="A5" s="8" t="n">
        <v>4</v>
      </c>
      <c r="B5" s="39" t="n">
        <f aca="false">EDATE(StartDate,A5-1)</f>
        <v>46478</v>
      </c>
      <c r="C5" s="24" t="str">
        <f aca="false">Monthly!$B$8</f>
        <v>EnergyWave, Inc.</v>
      </c>
      <c r="D5" s="24" t="str">
        <f aca="false">Monthly!$C$8</f>
        <v>Payroll</v>
      </c>
      <c r="E5" s="24" t="str">
        <f aca="false">Monthly!$D$8</f>
        <v>Salary &amp; load</v>
      </c>
      <c r="F5" s="24" t="str">
        <f aca="false">Monthly!$A$8</f>
        <v>Founder &amp; CEO</v>
      </c>
      <c r="G5" s="20" t="n">
        <f aca="false">Monthly!I$8</f>
        <v>24400</v>
      </c>
      <c r="H5" s="24" t="str">
        <f aca="false">ScenarioName</f>
        <v>Base</v>
      </c>
    </row>
    <row r="6" customFormat="false" ht="15" hidden="false" customHeight="false" outlineLevel="0" collapsed="false">
      <c r="A6" s="8" t="n">
        <v>5</v>
      </c>
      <c r="B6" s="39" t="n">
        <f aca="false">EDATE(StartDate,A6-1)</f>
        <v>46508</v>
      </c>
      <c r="C6" s="24" t="str">
        <f aca="false">Monthly!$B$8</f>
        <v>EnergyWave, Inc.</v>
      </c>
      <c r="D6" s="24" t="str">
        <f aca="false">Monthly!$C$8</f>
        <v>Payroll</v>
      </c>
      <c r="E6" s="24" t="str">
        <f aca="false">Monthly!$D$8</f>
        <v>Salary &amp; load</v>
      </c>
      <c r="F6" s="24" t="str">
        <f aca="false">Monthly!$A$8</f>
        <v>Founder &amp; CEO</v>
      </c>
      <c r="G6" s="20" t="n">
        <f aca="false">Monthly!J$8</f>
        <v>24400</v>
      </c>
      <c r="H6" s="24" t="str">
        <f aca="false">ScenarioName</f>
        <v>Base</v>
      </c>
    </row>
    <row r="7" customFormat="false" ht="15" hidden="false" customHeight="false" outlineLevel="0" collapsed="false">
      <c r="A7" s="8" t="n">
        <v>6</v>
      </c>
      <c r="B7" s="39" t="n">
        <f aca="false">EDATE(StartDate,A7-1)</f>
        <v>46539</v>
      </c>
      <c r="C7" s="24" t="str">
        <f aca="false">Monthly!$B$8</f>
        <v>EnergyWave, Inc.</v>
      </c>
      <c r="D7" s="24" t="str">
        <f aca="false">Monthly!$C$8</f>
        <v>Payroll</v>
      </c>
      <c r="E7" s="24" t="str">
        <f aca="false">Monthly!$D$8</f>
        <v>Salary &amp; load</v>
      </c>
      <c r="F7" s="24" t="str">
        <f aca="false">Monthly!$A$8</f>
        <v>Founder &amp; CEO</v>
      </c>
      <c r="G7" s="20" t="n">
        <f aca="false">Monthly!K$8</f>
        <v>24400</v>
      </c>
      <c r="H7" s="24" t="str">
        <f aca="false">ScenarioName</f>
        <v>Base</v>
      </c>
    </row>
    <row r="8" customFormat="false" ht="15" hidden="false" customHeight="false" outlineLevel="0" collapsed="false">
      <c r="A8" s="8" t="n">
        <v>7</v>
      </c>
      <c r="B8" s="39" t="n">
        <f aca="false">EDATE(StartDate,A8-1)</f>
        <v>46569</v>
      </c>
      <c r="C8" s="24" t="str">
        <f aca="false">Monthly!$B$8</f>
        <v>EnergyWave, Inc.</v>
      </c>
      <c r="D8" s="24" t="str">
        <f aca="false">Monthly!$C$8</f>
        <v>Payroll</v>
      </c>
      <c r="E8" s="24" t="str">
        <f aca="false">Monthly!$D$8</f>
        <v>Salary &amp; load</v>
      </c>
      <c r="F8" s="24" t="str">
        <f aca="false">Monthly!$A$8</f>
        <v>Founder &amp; CEO</v>
      </c>
      <c r="G8" s="20" t="n">
        <f aca="false">Monthly!L$8</f>
        <v>24400</v>
      </c>
      <c r="H8" s="24" t="str">
        <f aca="false">ScenarioName</f>
        <v>Base</v>
      </c>
    </row>
    <row r="9" customFormat="false" ht="15" hidden="false" customHeight="false" outlineLevel="0" collapsed="false">
      <c r="A9" s="8" t="n">
        <v>8</v>
      </c>
      <c r="B9" s="39" t="n">
        <f aca="false">EDATE(StartDate,A9-1)</f>
        <v>46600</v>
      </c>
      <c r="C9" s="24" t="str">
        <f aca="false">Monthly!$B$8</f>
        <v>EnergyWave, Inc.</v>
      </c>
      <c r="D9" s="24" t="str">
        <f aca="false">Monthly!$C$8</f>
        <v>Payroll</v>
      </c>
      <c r="E9" s="24" t="str">
        <f aca="false">Monthly!$D$8</f>
        <v>Salary &amp; load</v>
      </c>
      <c r="F9" s="24" t="str">
        <f aca="false">Monthly!$A$8</f>
        <v>Founder &amp; CEO</v>
      </c>
      <c r="G9" s="20" t="n">
        <f aca="false">Monthly!M$8</f>
        <v>24400</v>
      </c>
      <c r="H9" s="24" t="str">
        <f aca="false">ScenarioName</f>
        <v>Base</v>
      </c>
    </row>
    <row r="10" customFormat="false" ht="15" hidden="false" customHeight="false" outlineLevel="0" collapsed="false">
      <c r="A10" s="8" t="n">
        <v>9</v>
      </c>
      <c r="B10" s="39" t="n">
        <f aca="false">EDATE(StartDate,A10-1)</f>
        <v>46631</v>
      </c>
      <c r="C10" s="24" t="str">
        <f aca="false">Monthly!$B$8</f>
        <v>EnergyWave, Inc.</v>
      </c>
      <c r="D10" s="24" t="str">
        <f aca="false">Monthly!$C$8</f>
        <v>Payroll</v>
      </c>
      <c r="E10" s="24" t="str">
        <f aca="false">Monthly!$D$8</f>
        <v>Salary &amp; load</v>
      </c>
      <c r="F10" s="24" t="str">
        <f aca="false">Monthly!$A$8</f>
        <v>Founder &amp; CEO</v>
      </c>
      <c r="G10" s="20" t="n">
        <f aca="false">Monthly!N$8</f>
        <v>24400</v>
      </c>
      <c r="H10" s="24" t="str">
        <f aca="false">ScenarioName</f>
        <v>Base</v>
      </c>
    </row>
    <row r="11" customFormat="false" ht="15" hidden="false" customHeight="false" outlineLevel="0" collapsed="false">
      <c r="A11" s="8" t="n">
        <v>10</v>
      </c>
      <c r="B11" s="39" t="n">
        <f aca="false">EDATE(StartDate,A11-1)</f>
        <v>46661</v>
      </c>
      <c r="C11" s="24" t="str">
        <f aca="false">Monthly!$B$8</f>
        <v>EnergyWave, Inc.</v>
      </c>
      <c r="D11" s="24" t="str">
        <f aca="false">Monthly!$C$8</f>
        <v>Payroll</v>
      </c>
      <c r="E11" s="24" t="str">
        <f aca="false">Monthly!$D$8</f>
        <v>Salary &amp; load</v>
      </c>
      <c r="F11" s="24" t="str">
        <f aca="false">Monthly!$A$8</f>
        <v>Founder &amp; CEO</v>
      </c>
      <c r="G11" s="20" t="n">
        <f aca="false">Monthly!O$8</f>
        <v>24400</v>
      </c>
      <c r="H11" s="24" t="str">
        <f aca="false">ScenarioName</f>
        <v>Base</v>
      </c>
    </row>
    <row r="12" customFormat="false" ht="15" hidden="false" customHeight="false" outlineLevel="0" collapsed="false">
      <c r="A12" s="8" t="n">
        <v>11</v>
      </c>
      <c r="B12" s="39" t="n">
        <f aca="false">EDATE(StartDate,A12-1)</f>
        <v>46692</v>
      </c>
      <c r="C12" s="24" t="str">
        <f aca="false">Monthly!$B$8</f>
        <v>EnergyWave, Inc.</v>
      </c>
      <c r="D12" s="24" t="str">
        <f aca="false">Monthly!$C$8</f>
        <v>Payroll</v>
      </c>
      <c r="E12" s="24" t="str">
        <f aca="false">Monthly!$D$8</f>
        <v>Salary &amp; load</v>
      </c>
      <c r="F12" s="24" t="str">
        <f aca="false">Monthly!$A$8</f>
        <v>Founder &amp; CEO</v>
      </c>
      <c r="G12" s="20" t="n">
        <f aca="false">Monthly!P$8</f>
        <v>24400</v>
      </c>
      <c r="H12" s="24" t="str">
        <f aca="false">ScenarioName</f>
        <v>Base</v>
      </c>
    </row>
    <row r="13" customFormat="false" ht="15" hidden="false" customHeight="false" outlineLevel="0" collapsed="false">
      <c r="A13" s="8" t="n">
        <v>12</v>
      </c>
      <c r="B13" s="39" t="n">
        <f aca="false">EDATE(StartDate,A13-1)</f>
        <v>46722</v>
      </c>
      <c r="C13" s="24" t="str">
        <f aca="false">Monthly!$B$8</f>
        <v>EnergyWave, Inc.</v>
      </c>
      <c r="D13" s="24" t="str">
        <f aca="false">Monthly!$C$8</f>
        <v>Payroll</v>
      </c>
      <c r="E13" s="24" t="str">
        <f aca="false">Monthly!$D$8</f>
        <v>Salary &amp; load</v>
      </c>
      <c r="F13" s="24" t="str">
        <f aca="false">Monthly!$A$8</f>
        <v>Founder &amp; CEO</v>
      </c>
      <c r="G13" s="20" t="n">
        <f aca="false">Monthly!Q$8</f>
        <v>24400</v>
      </c>
      <c r="H13" s="24" t="str">
        <f aca="false">ScenarioName</f>
        <v>Base</v>
      </c>
    </row>
    <row r="14" customFormat="false" ht="15" hidden="false" customHeight="false" outlineLevel="0" collapsed="false">
      <c r="A14" s="8" t="n">
        <v>13</v>
      </c>
      <c r="B14" s="39" t="n">
        <f aca="false">EDATE(StartDate,A14-1)</f>
        <v>46753</v>
      </c>
      <c r="C14" s="24" t="str">
        <f aca="false">Monthly!$B$8</f>
        <v>EnergyWave, Inc.</v>
      </c>
      <c r="D14" s="24" t="str">
        <f aca="false">Monthly!$C$8</f>
        <v>Payroll</v>
      </c>
      <c r="E14" s="24" t="str">
        <f aca="false">Monthly!$D$8</f>
        <v>Salary &amp; load</v>
      </c>
      <c r="F14" s="24" t="str">
        <f aca="false">Monthly!$A$8</f>
        <v>Founder &amp; CEO</v>
      </c>
      <c r="G14" s="20" t="n">
        <f aca="false">Monthly!R$8</f>
        <v>24400</v>
      </c>
      <c r="H14" s="24" t="str">
        <f aca="false">ScenarioName</f>
        <v>Base</v>
      </c>
    </row>
    <row r="15" customFormat="false" ht="15" hidden="false" customHeight="false" outlineLevel="0" collapsed="false">
      <c r="A15" s="8" t="n">
        <v>14</v>
      </c>
      <c r="B15" s="39" t="n">
        <f aca="false">EDATE(StartDate,A15-1)</f>
        <v>46784</v>
      </c>
      <c r="C15" s="24" t="str">
        <f aca="false">Monthly!$B$8</f>
        <v>EnergyWave, Inc.</v>
      </c>
      <c r="D15" s="24" t="str">
        <f aca="false">Monthly!$C$8</f>
        <v>Payroll</v>
      </c>
      <c r="E15" s="24" t="str">
        <f aca="false">Monthly!$D$8</f>
        <v>Salary &amp; load</v>
      </c>
      <c r="F15" s="24" t="str">
        <f aca="false">Monthly!$A$8</f>
        <v>Founder &amp; CEO</v>
      </c>
      <c r="G15" s="20" t="n">
        <f aca="false">Monthly!S$8</f>
        <v>24400</v>
      </c>
      <c r="H15" s="24" t="str">
        <f aca="false">ScenarioName</f>
        <v>Base</v>
      </c>
    </row>
    <row r="16" customFormat="false" ht="15" hidden="false" customHeight="false" outlineLevel="0" collapsed="false">
      <c r="A16" s="8" t="n">
        <v>15</v>
      </c>
      <c r="B16" s="39" t="n">
        <f aca="false">EDATE(StartDate,A16-1)</f>
        <v>46813</v>
      </c>
      <c r="C16" s="24" t="str">
        <f aca="false">Monthly!$B$8</f>
        <v>EnergyWave, Inc.</v>
      </c>
      <c r="D16" s="24" t="str">
        <f aca="false">Monthly!$C$8</f>
        <v>Payroll</v>
      </c>
      <c r="E16" s="24" t="str">
        <f aca="false">Monthly!$D$8</f>
        <v>Salary &amp; load</v>
      </c>
      <c r="F16" s="24" t="str">
        <f aca="false">Monthly!$A$8</f>
        <v>Founder &amp; CEO</v>
      </c>
      <c r="G16" s="20" t="n">
        <f aca="false">Monthly!T$8</f>
        <v>24400</v>
      </c>
      <c r="H16" s="24" t="str">
        <f aca="false">ScenarioName</f>
        <v>Base</v>
      </c>
    </row>
    <row r="17" customFormat="false" ht="15" hidden="false" customHeight="false" outlineLevel="0" collapsed="false">
      <c r="A17" s="8" t="n">
        <v>16</v>
      </c>
      <c r="B17" s="39" t="n">
        <f aca="false">EDATE(StartDate,A17-1)</f>
        <v>46844</v>
      </c>
      <c r="C17" s="24" t="str">
        <f aca="false">Monthly!$B$8</f>
        <v>EnergyWave, Inc.</v>
      </c>
      <c r="D17" s="24" t="str">
        <f aca="false">Monthly!$C$8</f>
        <v>Payroll</v>
      </c>
      <c r="E17" s="24" t="str">
        <f aca="false">Monthly!$D$8</f>
        <v>Salary &amp; load</v>
      </c>
      <c r="F17" s="24" t="str">
        <f aca="false">Monthly!$A$8</f>
        <v>Founder &amp; CEO</v>
      </c>
      <c r="G17" s="20" t="n">
        <f aca="false">Monthly!U$8</f>
        <v>24400</v>
      </c>
      <c r="H17" s="24" t="str">
        <f aca="false">ScenarioName</f>
        <v>Base</v>
      </c>
    </row>
    <row r="18" customFormat="false" ht="15" hidden="false" customHeight="false" outlineLevel="0" collapsed="false">
      <c r="A18" s="8" t="n">
        <v>17</v>
      </c>
      <c r="B18" s="39" t="n">
        <f aca="false">EDATE(StartDate,A18-1)</f>
        <v>46874</v>
      </c>
      <c r="C18" s="24" t="str">
        <f aca="false">Monthly!$B$8</f>
        <v>EnergyWave, Inc.</v>
      </c>
      <c r="D18" s="24" t="str">
        <f aca="false">Monthly!$C$8</f>
        <v>Payroll</v>
      </c>
      <c r="E18" s="24" t="str">
        <f aca="false">Monthly!$D$8</f>
        <v>Salary &amp; load</v>
      </c>
      <c r="F18" s="24" t="str">
        <f aca="false">Monthly!$A$8</f>
        <v>Founder &amp; CEO</v>
      </c>
      <c r="G18" s="20" t="n">
        <f aca="false">Monthly!V$8</f>
        <v>24400</v>
      </c>
      <c r="H18" s="24" t="str">
        <f aca="false">ScenarioName</f>
        <v>Base</v>
      </c>
    </row>
    <row r="19" customFormat="false" ht="15" hidden="false" customHeight="false" outlineLevel="0" collapsed="false">
      <c r="A19" s="8" t="n">
        <v>18</v>
      </c>
      <c r="B19" s="39" t="n">
        <f aca="false">EDATE(StartDate,A19-1)</f>
        <v>46905</v>
      </c>
      <c r="C19" s="24" t="str">
        <f aca="false">Monthly!$B$8</f>
        <v>EnergyWave, Inc.</v>
      </c>
      <c r="D19" s="24" t="str">
        <f aca="false">Monthly!$C$8</f>
        <v>Payroll</v>
      </c>
      <c r="E19" s="24" t="str">
        <f aca="false">Monthly!$D$8</f>
        <v>Salary &amp; load</v>
      </c>
      <c r="F19" s="24" t="str">
        <f aca="false">Monthly!$A$8</f>
        <v>Founder &amp; CEO</v>
      </c>
      <c r="G19" s="20" t="n">
        <f aca="false">Monthly!W$8</f>
        <v>24400</v>
      </c>
      <c r="H19" s="24" t="str">
        <f aca="false">ScenarioName</f>
        <v>Base</v>
      </c>
    </row>
    <row r="20" customFormat="false" ht="15" hidden="false" customHeight="false" outlineLevel="0" collapsed="false">
      <c r="A20" s="8" t="n">
        <v>19</v>
      </c>
      <c r="B20" s="39" t="n">
        <f aca="false">EDATE(StartDate,A20-1)</f>
        <v>46935</v>
      </c>
      <c r="C20" s="24" t="str">
        <f aca="false">Monthly!$B$8</f>
        <v>EnergyWave, Inc.</v>
      </c>
      <c r="D20" s="24" t="str">
        <f aca="false">Monthly!$C$8</f>
        <v>Payroll</v>
      </c>
      <c r="E20" s="24" t="str">
        <f aca="false">Monthly!$D$8</f>
        <v>Salary &amp; load</v>
      </c>
      <c r="F20" s="24" t="str">
        <f aca="false">Monthly!$A$8</f>
        <v>Founder &amp; CEO</v>
      </c>
      <c r="G20" s="20" t="n">
        <f aca="false">Monthly!X$8</f>
        <v>24400</v>
      </c>
      <c r="H20" s="24" t="str">
        <f aca="false">ScenarioName</f>
        <v>Base</v>
      </c>
    </row>
    <row r="21" customFormat="false" ht="15" hidden="false" customHeight="false" outlineLevel="0" collapsed="false">
      <c r="A21" s="8" t="n">
        <v>20</v>
      </c>
      <c r="B21" s="39" t="n">
        <f aca="false">EDATE(StartDate,A21-1)</f>
        <v>46966</v>
      </c>
      <c r="C21" s="24" t="str">
        <f aca="false">Monthly!$B$8</f>
        <v>EnergyWave, Inc.</v>
      </c>
      <c r="D21" s="24" t="str">
        <f aca="false">Monthly!$C$8</f>
        <v>Payroll</v>
      </c>
      <c r="E21" s="24" t="str">
        <f aca="false">Monthly!$D$8</f>
        <v>Salary &amp; load</v>
      </c>
      <c r="F21" s="24" t="str">
        <f aca="false">Monthly!$A$8</f>
        <v>Founder &amp; CEO</v>
      </c>
      <c r="G21" s="20" t="n">
        <f aca="false">Monthly!Y$8</f>
        <v>24400</v>
      </c>
      <c r="H21" s="24" t="str">
        <f aca="false">ScenarioName</f>
        <v>Base</v>
      </c>
    </row>
    <row r="22" customFormat="false" ht="15" hidden="false" customHeight="false" outlineLevel="0" collapsed="false">
      <c r="A22" s="8" t="n">
        <v>21</v>
      </c>
      <c r="B22" s="39" t="n">
        <f aca="false">EDATE(StartDate,A22-1)</f>
        <v>46997</v>
      </c>
      <c r="C22" s="24" t="str">
        <f aca="false">Monthly!$B$8</f>
        <v>EnergyWave, Inc.</v>
      </c>
      <c r="D22" s="24" t="str">
        <f aca="false">Monthly!$C$8</f>
        <v>Payroll</v>
      </c>
      <c r="E22" s="24" t="str">
        <f aca="false">Monthly!$D$8</f>
        <v>Salary &amp; load</v>
      </c>
      <c r="F22" s="24" t="str">
        <f aca="false">Monthly!$A$8</f>
        <v>Founder &amp; CEO</v>
      </c>
      <c r="G22" s="20" t="n">
        <f aca="false">Monthly!Z$8</f>
        <v>24400</v>
      </c>
      <c r="H22" s="24" t="str">
        <f aca="false">ScenarioName</f>
        <v>Base</v>
      </c>
    </row>
    <row r="23" customFormat="false" ht="15" hidden="false" customHeight="false" outlineLevel="0" collapsed="false">
      <c r="A23" s="8" t="n">
        <v>22</v>
      </c>
      <c r="B23" s="39" t="n">
        <f aca="false">EDATE(StartDate,A23-1)</f>
        <v>47027</v>
      </c>
      <c r="C23" s="24" t="str">
        <f aca="false">Monthly!$B$8</f>
        <v>EnergyWave, Inc.</v>
      </c>
      <c r="D23" s="24" t="str">
        <f aca="false">Monthly!$C$8</f>
        <v>Payroll</v>
      </c>
      <c r="E23" s="24" t="str">
        <f aca="false">Monthly!$D$8</f>
        <v>Salary &amp; load</v>
      </c>
      <c r="F23" s="24" t="str">
        <f aca="false">Monthly!$A$8</f>
        <v>Founder &amp; CEO</v>
      </c>
      <c r="G23" s="20" t="n">
        <f aca="false">Monthly!AA$8</f>
        <v>24400</v>
      </c>
      <c r="H23" s="24" t="str">
        <f aca="false">ScenarioName</f>
        <v>Base</v>
      </c>
    </row>
    <row r="24" customFormat="false" ht="15" hidden="false" customHeight="false" outlineLevel="0" collapsed="false">
      <c r="A24" s="8" t="n">
        <v>23</v>
      </c>
      <c r="B24" s="39" t="n">
        <f aca="false">EDATE(StartDate,A24-1)</f>
        <v>47058</v>
      </c>
      <c r="C24" s="24" t="str">
        <f aca="false">Monthly!$B$8</f>
        <v>EnergyWave, Inc.</v>
      </c>
      <c r="D24" s="24" t="str">
        <f aca="false">Monthly!$C$8</f>
        <v>Payroll</v>
      </c>
      <c r="E24" s="24" t="str">
        <f aca="false">Monthly!$D$8</f>
        <v>Salary &amp; load</v>
      </c>
      <c r="F24" s="24" t="str">
        <f aca="false">Monthly!$A$8</f>
        <v>Founder &amp; CEO</v>
      </c>
      <c r="G24" s="20" t="n">
        <f aca="false">Monthly!AB$8</f>
        <v>24400</v>
      </c>
      <c r="H24" s="24" t="str">
        <f aca="false">ScenarioName</f>
        <v>Base</v>
      </c>
    </row>
    <row r="25" customFormat="false" ht="15" hidden="false" customHeight="false" outlineLevel="0" collapsed="false">
      <c r="A25" s="8" t="n">
        <v>24</v>
      </c>
      <c r="B25" s="39" t="n">
        <f aca="false">EDATE(StartDate,A25-1)</f>
        <v>47088</v>
      </c>
      <c r="C25" s="24" t="str">
        <f aca="false">Monthly!$B$8</f>
        <v>EnergyWave, Inc.</v>
      </c>
      <c r="D25" s="24" t="str">
        <f aca="false">Monthly!$C$8</f>
        <v>Payroll</v>
      </c>
      <c r="E25" s="24" t="str">
        <f aca="false">Monthly!$D$8</f>
        <v>Salary &amp; load</v>
      </c>
      <c r="F25" s="24" t="str">
        <f aca="false">Monthly!$A$8</f>
        <v>Founder &amp; CEO</v>
      </c>
      <c r="G25" s="20" t="n">
        <f aca="false">Monthly!AC$8</f>
        <v>24400</v>
      </c>
      <c r="H25" s="24" t="str">
        <f aca="false">ScenarioName</f>
        <v>Base</v>
      </c>
    </row>
    <row r="26" customFormat="false" ht="15" hidden="false" customHeight="false" outlineLevel="0" collapsed="false">
      <c r="A26" s="8" t="n">
        <v>25</v>
      </c>
      <c r="B26" s="39" t="n">
        <f aca="false">EDATE(StartDate,A26-1)</f>
        <v>47119</v>
      </c>
      <c r="C26" s="24" t="str">
        <f aca="false">Monthly!$B$8</f>
        <v>EnergyWave, Inc.</v>
      </c>
      <c r="D26" s="24" t="str">
        <f aca="false">Monthly!$C$8</f>
        <v>Payroll</v>
      </c>
      <c r="E26" s="24" t="str">
        <f aca="false">Monthly!$D$8</f>
        <v>Salary &amp; load</v>
      </c>
      <c r="F26" s="24" t="str">
        <f aca="false">Monthly!$A$8</f>
        <v>Founder &amp; CEO</v>
      </c>
      <c r="G26" s="20" t="n">
        <f aca="false">Monthly!AD$8</f>
        <v>24400</v>
      </c>
      <c r="H26" s="24" t="str">
        <f aca="false">ScenarioName</f>
        <v>Base</v>
      </c>
    </row>
    <row r="27" customFormat="false" ht="15" hidden="false" customHeight="false" outlineLevel="0" collapsed="false">
      <c r="A27" s="8" t="n">
        <v>26</v>
      </c>
      <c r="B27" s="39" t="n">
        <f aca="false">EDATE(StartDate,A27-1)</f>
        <v>47150</v>
      </c>
      <c r="C27" s="24" t="str">
        <f aca="false">Monthly!$B$8</f>
        <v>EnergyWave, Inc.</v>
      </c>
      <c r="D27" s="24" t="str">
        <f aca="false">Monthly!$C$8</f>
        <v>Payroll</v>
      </c>
      <c r="E27" s="24" t="str">
        <f aca="false">Monthly!$D$8</f>
        <v>Salary &amp; load</v>
      </c>
      <c r="F27" s="24" t="str">
        <f aca="false">Monthly!$A$8</f>
        <v>Founder &amp; CEO</v>
      </c>
      <c r="G27" s="20" t="n">
        <f aca="false">Monthly!AE$8</f>
        <v>24400</v>
      </c>
      <c r="H27" s="24" t="str">
        <f aca="false">ScenarioName</f>
        <v>Base</v>
      </c>
    </row>
    <row r="28" customFormat="false" ht="15" hidden="false" customHeight="false" outlineLevel="0" collapsed="false">
      <c r="A28" s="8" t="n">
        <v>27</v>
      </c>
      <c r="B28" s="39" t="n">
        <f aca="false">EDATE(StartDate,A28-1)</f>
        <v>47178</v>
      </c>
      <c r="C28" s="24" t="str">
        <f aca="false">Monthly!$B$8</f>
        <v>EnergyWave, Inc.</v>
      </c>
      <c r="D28" s="24" t="str">
        <f aca="false">Monthly!$C$8</f>
        <v>Payroll</v>
      </c>
      <c r="E28" s="24" t="str">
        <f aca="false">Monthly!$D$8</f>
        <v>Salary &amp; load</v>
      </c>
      <c r="F28" s="24" t="str">
        <f aca="false">Monthly!$A$8</f>
        <v>Founder &amp; CEO</v>
      </c>
      <c r="G28" s="20" t="n">
        <f aca="false">Monthly!AF$8</f>
        <v>24400</v>
      </c>
      <c r="H28" s="24" t="str">
        <f aca="false">ScenarioName</f>
        <v>Base</v>
      </c>
    </row>
    <row r="29" customFormat="false" ht="15" hidden="false" customHeight="false" outlineLevel="0" collapsed="false">
      <c r="A29" s="8" t="n">
        <v>28</v>
      </c>
      <c r="B29" s="39" t="n">
        <f aca="false">EDATE(StartDate,A29-1)</f>
        <v>47209</v>
      </c>
      <c r="C29" s="24" t="str">
        <f aca="false">Monthly!$B$8</f>
        <v>EnergyWave, Inc.</v>
      </c>
      <c r="D29" s="24" t="str">
        <f aca="false">Monthly!$C$8</f>
        <v>Payroll</v>
      </c>
      <c r="E29" s="24" t="str">
        <f aca="false">Monthly!$D$8</f>
        <v>Salary &amp; load</v>
      </c>
      <c r="F29" s="24" t="str">
        <f aca="false">Monthly!$A$8</f>
        <v>Founder &amp; CEO</v>
      </c>
      <c r="G29" s="20" t="n">
        <f aca="false">Monthly!AG$8</f>
        <v>24400</v>
      </c>
      <c r="H29" s="24" t="str">
        <f aca="false">ScenarioName</f>
        <v>Base</v>
      </c>
    </row>
    <row r="30" customFormat="false" ht="15" hidden="false" customHeight="false" outlineLevel="0" collapsed="false">
      <c r="A30" s="8" t="n">
        <v>29</v>
      </c>
      <c r="B30" s="39" t="n">
        <f aca="false">EDATE(StartDate,A30-1)</f>
        <v>47239</v>
      </c>
      <c r="C30" s="24" t="str">
        <f aca="false">Monthly!$B$8</f>
        <v>EnergyWave, Inc.</v>
      </c>
      <c r="D30" s="24" t="str">
        <f aca="false">Monthly!$C$8</f>
        <v>Payroll</v>
      </c>
      <c r="E30" s="24" t="str">
        <f aca="false">Monthly!$D$8</f>
        <v>Salary &amp; load</v>
      </c>
      <c r="F30" s="24" t="str">
        <f aca="false">Monthly!$A$8</f>
        <v>Founder &amp; CEO</v>
      </c>
      <c r="G30" s="20" t="n">
        <f aca="false">Monthly!AH$8</f>
        <v>24400</v>
      </c>
      <c r="H30" s="24" t="str">
        <f aca="false">ScenarioName</f>
        <v>Base</v>
      </c>
    </row>
    <row r="31" customFormat="false" ht="15" hidden="false" customHeight="false" outlineLevel="0" collapsed="false">
      <c r="A31" s="8" t="n">
        <v>30</v>
      </c>
      <c r="B31" s="39" t="n">
        <f aca="false">EDATE(StartDate,A31-1)</f>
        <v>47270</v>
      </c>
      <c r="C31" s="24" t="str">
        <f aca="false">Monthly!$B$8</f>
        <v>EnergyWave, Inc.</v>
      </c>
      <c r="D31" s="24" t="str">
        <f aca="false">Monthly!$C$8</f>
        <v>Payroll</v>
      </c>
      <c r="E31" s="24" t="str">
        <f aca="false">Monthly!$D$8</f>
        <v>Salary &amp; load</v>
      </c>
      <c r="F31" s="24" t="str">
        <f aca="false">Monthly!$A$8</f>
        <v>Founder &amp; CEO</v>
      </c>
      <c r="G31" s="20" t="n">
        <f aca="false">Monthly!AI$8</f>
        <v>24400</v>
      </c>
      <c r="H31" s="24" t="str">
        <f aca="false">ScenarioName</f>
        <v>Base</v>
      </c>
    </row>
    <row r="32" customFormat="false" ht="15" hidden="false" customHeight="false" outlineLevel="0" collapsed="false">
      <c r="A32" s="8" t="n">
        <v>31</v>
      </c>
      <c r="B32" s="39" t="n">
        <f aca="false">EDATE(StartDate,A32-1)</f>
        <v>47300</v>
      </c>
      <c r="C32" s="24" t="str">
        <f aca="false">Monthly!$B$8</f>
        <v>EnergyWave, Inc.</v>
      </c>
      <c r="D32" s="24" t="str">
        <f aca="false">Monthly!$C$8</f>
        <v>Payroll</v>
      </c>
      <c r="E32" s="24" t="str">
        <f aca="false">Monthly!$D$8</f>
        <v>Salary &amp; load</v>
      </c>
      <c r="F32" s="24" t="str">
        <f aca="false">Monthly!$A$8</f>
        <v>Founder &amp; CEO</v>
      </c>
      <c r="G32" s="20" t="n">
        <f aca="false">Monthly!AJ$8</f>
        <v>24400</v>
      </c>
      <c r="H32" s="24" t="str">
        <f aca="false">ScenarioName</f>
        <v>Base</v>
      </c>
    </row>
    <row r="33" customFormat="false" ht="15" hidden="false" customHeight="false" outlineLevel="0" collapsed="false">
      <c r="A33" s="8" t="n">
        <v>32</v>
      </c>
      <c r="B33" s="39" t="n">
        <f aca="false">EDATE(StartDate,A33-1)</f>
        <v>47331</v>
      </c>
      <c r="C33" s="24" t="str">
        <f aca="false">Monthly!$B$8</f>
        <v>EnergyWave, Inc.</v>
      </c>
      <c r="D33" s="24" t="str">
        <f aca="false">Monthly!$C$8</f>
        <v>Payroll</v>
      </c>
      <c r="E33" s="24" t="str">
        <f aca="false">Monthly!$D$8</f>
        <v>Salary &amp; load</v>
      </c>
      <c r="F33" s="24" t="str">
        <f aca="false">Monthly!$A$8</f>
        <v>Founder &amp; CEO</v>
      </c>
      <c r="G33" s="20" t="n">
        <f aca="false">Monthly!AK$8</f>
        <v>24400</v>
      </c>
      <c r="H33" s="24" t="str">
        <f aca="false">ScenarioName</f>
        <v>Base</v>
      </c>
    </row>
    <row r="34" customFormat="false" ht="15" hidden="false" customHeight="false" outlineLevel="0" collapsed="false">
      <c r="A34" s="8" t="n">
        <v>33</v>
      </c>
      <c r="B34" s="39" t="n">
        <f aca="false">EDATE(StartDate,A34-1)</f>
        <v>47362</v>
      </c>
      <c r="C34" s="24" t="str">
        <f aca="false">Monthly!$B$8</f>
        <v>EnergyWave, Inc.</v>
      </c>
      <c r="D34" s="24" t="str">
        <f aca="false">Monthly!$C$8</f>
        <v>Payroll</v>
      </c>
      <c r="E34" s="24" t="str">
        <f aca="false">Monthly!$D$8</f>
        <v>Salary &amp; load</v>
      </c>
      <c r="F34" s="24" t="str">
        <f aca="false">Monthly!$A$8</f>
        <v>Founder &amp; CEO</v>
      </c>
      <c r="G34" s="20" t="n">
        <f aca="false">Monthly!AL$8</f>
        <v>24400</v>
      </c>
      <c r="H34" s="24" t="str">
        <f aca="false">ScenarioName</f>
        <v>Base</v>
      </c>
    </row>
    <row r="35" customFormat="false" ht="15" hidden="false" customHeight="false" outlineLevel="0" collapsed="false">
      <c r="A35" s="8" t="n">
        <v>34</v>
      </c>
      <c r="B35" s="39" t="n">
        <f aca="false">EDATE(StartDate,A35-1)</f>
        <v>47392</v>
      </c>
      <c r="C35" s="24" t="str">
        <f aca="false">Monthly!$B$8</f>
        <v>EnergyWave, Inc.</v>
      </c>
      <c r="D35" s="24" t="str">
        <f aca="false">Monthly!$C$8</f>
        <v>Payroll</v>
      </c>
      <c r="E35" s="24" t="str">
        <f aca="false">Monthly!$D$8</f>
        <v>Salary &amp; load</v>
      </c>
      <c r="F35" s="24" t="str">
        <f aca="false">Monthly!$A$8</f>
        <v>Founder &amp; CEO</v>
      </c>
      <c r="G35" s="20" t="n">
        <f aca="false">Monthly!AM$8</f>
        <v>24400</v>
      </c>
      <c r="H35" s="24" t="str">
        <f aca="false">ScenarioName</f>
        <v>Base</v>
      </c>
    </row>
    <row r="36" customFormat="false" ht="15" hidden="false" customHeight="false" outlineLevel="0" collapsed="false">
      <c r="A36" s="8" t="n">
        <v>35</v>
      </c>
      <c r="B36" s="39" t="n">
        <f aca="false">EDATE(StartDate,A36-1)</f>
        <v>47423</v>
      </c>
      <c r="C36" s="24" t="str">
        <f aca="false">Monthly!$B$8</f>
        <v>EnergyWave, Inc.</v>
      </c>
      <c r="D36" s="24" t="str">
        <f aca="false">Monthly!$C$8</f>
        <v>Payroll</v>
      </c>
      <c r="E36" s="24" t="str">
        <f aca="false">Monthly!$D$8</f>
        <v>Salary &amp; load</v>
      </c>
      <c r="F36" s="24" t="str">
        <f aca="false">Monthly!$A$8</f>
        <v>Founder &amp; CEO</v>
      </c>
      <c r="G36" s="20" t="n">
        <f aca="false">Monthly!AN$8</f>
        <v>24400</v>
      </c>
      <c r="H36" s="24" t="str">
        <f aca="false">ScenarioName</f>
        <v>Base</v>
      </c>
    </row>
    <row r="37" customFormat="false" ht="15" hidden="false" customHeight="false" outlineLevel="0" collapsed="false">
      <c r="A37" s="8" t="n">
        <v>36</v>
      </c>
      <c r="B37" s="39" t="n">
        <f aca="false">EDATE(StartDate,A37-1)</f>
        <v>47453</v>
      </c>
      <c r="C37" s="24" t="str">
        <f aca="false">Monthly!$B$8</f>
        <v>EnergyWave, Inc.</v>
      </c>
      <c r="D37" s="24" t="str">
        <f aca="false">Monthly!$C$8</f>
        <v>Payroll</v>
      </c>
      <c r="E37" s="24" t="str">
        <f aca="false">Monthly!$D$8</f>
        <v>Salary &amp; load</v>
      </c>
      <c r="F37" s="24" t="str">
        <f aca="false">Monthly!$A$8</f>
        <v>Founder &amp; CEO</v>
      </c>
      <c r="G37" s="20" t="n">
        <f aca="false">Monthly!AO$8</f>
        <v>24400</v>
      </c>
      <c r="H37" s="24" t="str">
        <f aca="false">ScenarioName</f>
        <v>Base</v>
      </c>
    </row>
    <row r="38" customFormat="false" ht="15" hidden="false" customHeight="false" outlineLevel="0" collapsed="false">
      <c r="A38" s="8" t="n">
        <v>1</v>
      </c>
      <c r="B38" s="39" t="n">
        <f aca="false">EDATE(StartDate,A38-1)</f>
        <v>46388</v>
      </c>
      <c r="C38" s="24" t="str">
        <f aca="false">Monthly!$B$9</f>
        <v>EnergyWave, Inc.</v>
      </c>
      <c r="D38" s="24" t="str">
        <f aca="false">Monthly!$C$9</f>
        <v>Consulting</v>
      </c>
      <c r="E38" s="24" t="str">
        <f aca="false">Monthly!$D$9</f>
        <v>Consulting fee</v>
      </c>
      <c r="F38" s="24" t="str">
        <f aca="false">Monthly!$A$9</f>
        <v>Co-founder / Research Director (part-time)</v>
      </c>
      <c r="G38" s="20" t="n">
        <f aca="false">Monthly!F$9</f>
        <v>12500</v>
      </c>
      <c r="H38" s="24" t="str">
        <f aca="false">ScenarioName</f>
        <v>Base</v>
      </c>
    </row>
    <row r="39" customFormat="false" ht="15" hidden="false" customHeight="false" outlineLevel="0" collapsed="false">
      <c r="A39" s="8" t="n">
        <v>2</v>
      </c>
      <c r="B39" s="39" t="n">
        <f aca="false">EDATE(StartDate,A39-1)</f>
        <v>46419</v>
      </c>
      <c r="C39" s="24" t="str">
        <f aca="false">Monthly!$B$9</f>
        <v>EnergyWave, Inc.</v>
      </c>
      <c r="D39" s="24" t="str">
        <f aca="false">Monthly!$C$9</f>
        <v>Consulting</v>
      </c>
      <c r="E39" s="24" t="str">
        <f aca="false">Monthly!$D$9</f>
        <v>Consulting fee</v>
      </c>
      <c r="F39" s="24" t="str">
        <f aca="false">Monthly!$A$9</f>
        <v>Co-founder / Research Director (part-time)</v>
      </c>
      <c r="G39" s="20" t="n">
        <f aca="false">Monthly!G$9</f>
        <v>12500</v>
      </c>
      <c r="H39" s="24" t="str">
        <f aca="false">ScenarioName</f>
        <v>Base</v>
      </c>
    </row>
    <row r="40" customFormat="false" ht="15" hidden="false" customHeight="false" outlineLevel="0" collapsed="false">
      <c r="A40" s="8" t="n">
        <v>3</v>
      </c>
      <c r="B40" s="39" t="n">
        <f aca="false">EDATE(StartDate,A40-1)</f>
        <v>46447</v>
      </c>
      <c r="C40" s="24" t="str">
        <f aca="false">Monthly!$B$9</f>
        <v>EnergyWave, Inc.</v>
      </c>
      <c r="D40" s="24" t="str">
        <f aca="false">Monthly!$C$9</f>
        <v>Consulting</v>
      </c>
      <c r="E40" s="24" t="str">
        <f aca="false">Monthly!$D$9</f>
        <v>Consulting fee</v>
      </c>
      <c r="F40" s="24" t="str">
        <f aca="false">Monthly!$A$9</f>
        <v>Co-founder / Research Director (part-time)</v>
      </c>
      <c r="G40" s="20" t="n">
        <f aca="false">Monthly!H$9</f>
        <v>12500</v>
      </c>
      <c r="H40" s="24" t="str">
        <f aca="false">ScenarioName</f>
        <v>Base</v>
      </c>
    </row>
    <row r="41" customFormat="false" ht="15" hidden="false" customHeight="false" outlineLevel="0" collapsed="false">
      <c r="A41" s="8" t="n">
        <v>4</v>
      </c>
      <c r="B41" s="39" t="n">
        <f aca="false">EDATE(StartDate,A41-1)</f>
        <v>46478</v>
      </c>
      <c r="C41" s="24" t="str">
        <f aca="false">Monthly!$B$9</f>
        <v>EnergyWave, Inc.</v>
      </c>
      <c r="D41" s="24" t="str">
        <f aca="false">Monthly!$C$9</f>
        <v>Consulting</v>
      </c>
      <c r="E41" s="24" t="str">
        <f aca="false">Monthly!$D$9</f>
        <v>Consulting fee</v>
      </c>
      <c r="F41" s="24" t="str">
        <f aca="false">Monthly!$A$9</f>
        <v>Co-founder / Research Director (part-time)</v>
      </c>
      <c r="G41" s="20" t="n">
        <f aca="false">Monthly!I$9</f>
        <v>12500</v>
      </c>
      <c r="H41" s="24" t="str">
        <f aca="false">ScenarioName</f>
        <v>Base</v>
      </c>
    </row>
    <row r="42" customFormat="false" ht="15" hidden="false" customHeight="false" outlineLevel="0" collapsed="false">
      <c r="A42" s="8" t="n">
        <v>5</v>
      </c>
      <c r="B42" s="39" t="n">
        <f aca="false">EDATE(StartDate,A42-1)</f>
        <v>46508</v>
      </c>
      <c r="C42" s="24" t="str">
        <f aca="false">Monthly!$B$9</f>
        <v>EnergyWave, Inc.</v>
      </c>
      <c r="D42" s="24" t="str">
        <f aca="false">Monthly!$C$9</f>
        <v>Consulting</v>
      </c>
      <c r="E42" s="24" t="str">
        <f aca="false">Monthly!$D$9</f>
        <v>Consulting fee</v>
      </c>
      <c r="F42" s="24" t="str">
        <f aca="false">Monthly!$A$9</f>
        <v>Co-founder / Research Director (part-time)</v>
      </c>
      <c r="G42" s="20" t="n">
        <f aca="false">Monthly!J$9</f>
        <v>12500</v>
      </c>
      <c r="H42" s="24" t="str">
        <f aca="false">ScenarioName</f>
        <v>Base</v>
      </c>
    </row>
    <row r="43" customFormat="false" ht="15" hidden="false" customHeight="false" outlineLevel="0" collapsed="false">
      <c r="A43" s="8" t="n">
        <v>6</v>
      </c>
      <c r="B43" s="39" t="n">
        <f aca="false">EDATE(StartDate,A43-1)</f>
        <v>46539</v>
      </c>
      <c r="C43" s="24" t="str">
        <f aca="false">Monthly!$B$9</f>
        <v>EnergyWave, Inc.</v>
      </c>
      <c r="D43" s="24" t="str">
        <f aca="false">Monthly!$C$9</f>
        <v>Consulting</v>
      </c>
      <c r="E43" s="24" t="str">
        <f aca="false">Monthly!$D$9</f>
        <v>Consulting fee</v>
      </c>
      <c r="F43" s="24" t="str">
        <f aca="false">Monthly!$A$9</f>
        <v>Co-founder / Research Director (part-time)</v>
      </c>
      <c r="G43" s="20" t="n">
        <f aca="false">Monthly!K$9</f>
        <v>12500</v>
      </c>
      <c r="H43" s="24" t="str">
        <f aca="false">ScenarioName</f>
        <v>Base</v>
      </c>
    </row>
    <row r="44" customFormat="false" ht="15" hidden="false" customHeight="false" outlineLevel="0" collapsed="false">
      <c r="A44" s="8" t="n">
        <v>7</v>
      </c>
      <c r="B44" s="39" t="n">
        <f aca="false">EDATE(StartDate,A44-1)</f>
        <v>46569</v>
      </c>
      <c r="C44" s="24" t="str">
        <f aca="false">Monthly!$B$9</f>
        <v>EnergyWave, Inc.</v>
      </c>
      <c r="D44" s="24" t="str">
        <f aca="false">Monthly!$C$9</f>
        <v>Consulting</v>
      </c>
      <c r="E44" s="24" t="str">
        <f aca="false">Monthly!$D$9</f>
        <v>Consulting fee</v>
      </c>
      <c r="F44" s="24" t="str">
        <f aca="false">Monthly!$A$9</f>
        <v>Co-founder / Research Director (part-time)</v>
      </c>
      <c r="G44" s="20" t="n">
        <f aca="false">Monthly!L$9</f>
        <v>12500</v>
      </c>
      <c r="H44" s="24" t="str">
        <f aca="false">ScenarioName</f>
        <v>Base</v>
      </c>
    </row>
    <row r="45" customFormat="false" ht="15" hidden="false" customHeight="false" outlineLevel="0" collapsed="false">
      <c r="A45" s="8" t="n">
        <v>8</v>
      </c>
      <c r="B45" s="39" t="n">
        <f aca="false">EDATE(StartDate,A45-1)</f>
        <v>46600</v>
      </c>
      <c r="C45" s="24" t="str">
        <f aca="false">Monthly!$B$9</f>
        <v>EnergyWave, Inc.</v>
      </c>
      <c r="D45" s="24" t="str">
        <f aca="false">Monthly!$C$9</f>
        <v>Consulting</v>
      </c>
      <c r="E45" s="24" t="str">
        <f aca="false">Monthly!$D$9</f>
        <v>Consulting fee</v>
      </c>
      <c r="F45" s="24" t="str">
        <f aca="false">Monthly!$A$9</f>
        <v>Co-founder / Research Director (part-time)</v>
      </c>
      <c r="G45" s="20" t="n">
        <f aca="false">Monthly!M$9</f>
        <v>12500</v>
      </c>
      <c r="H45" s="24" t="str">
        <f aca="false">ScenarioName</f>
        <v>Base</v>
      </c>
    </row>
    <row r="46" customFormat="false" ht="15" hidden="false" customHeight="false" outlineLevel="0" collapsed="false">
      <c r="A46" s="8" t="n">
        <v>9</v>
      </c>
      <c r="B46" s="39" t="n">
        <f aca="false">EDATE(StartDate,A46-1)</f>
        <v>46631</v>
      </c>
      <c r="C46" s="24" t="str">
        <f aca="false">Monthly!$B$9</f>
        <v>EnergyWave, Inc.</v>
      </c>
      <c r="D46" s="24" t="str">
        <f aca="false">Monthly!$C$9</f>
        <v>Consulting</v>
      </c>
      <c r="E46" s="24" t="str">
        <f aca="false">Monthly!$D$9</f>
        <v>Consulting fee</v>
      </c>
      <c r="F46" s="24" t="str">
        <f aca="false">Monthly!$A$9</f>
        <v>Co-founder / Research Director (part-time)</v>
      </c>
      <c r="G46" s="20" t="n">
        <f aca="false">Monthly!N$9</f>
        <v>12500</v>
      </c>
      <c r="H46" s="24" t="str">
        <f aca="false">ScenarioName</f>
        <v>Base</v>
      </c>
    </row>
    <row r="47" customFormat="false" ht="15" hidden="false" customHeight="false" outlineLevel="0" collapsed="false">
      <c r="A47" s="8" t="n">
        <v>10</v>
      </c>
      <c r="B47" s="39" t="n">
        <f aca="false">EDATE(StartDate,A47-1)</f>
        <v>46661</v>
      </c>
      <c r="C47" s="24" t="str">
        <f aca="false">Monthly!$B$9</f>
        <v>EnergyWave, Inc.</v>
      </c>
      <c r="D47" s="24" t="str">
        <f aca="false">Monthly!$C$9</f>
        <v>Consulting</v>
      </c>
      <c r="E47" s="24" t="str">
        <f aca="false">Monthly!$D$9</f>
        <v>Consulting fee</v>
      </c>
      <c r="F47" s="24" t="str">
        <f aca="false">Monthly!$A$9</f>
        <v>Co-founder / Research Director (part-time)</v>
      </c>
      <c r="G47" s="20" t="n">
        <f aca="false">Monthly!O$9</f>
        <v>12500</v>
      </c>
      <c r="H47" s="24" t="str">
        <f aca="false">ScenarioName</f>
        <v>Base</v>
      </c>
    </row>
    <row r="48" customFormat="false" ht="15" hidden="false" customHeight="false" outlineLevel="0" collapsed="false">
      <c r="A48" s="8" t="n">
        <v>11</v>
      </c>
      <c r="B48" s="39" t="n">
        <f aca="false">EDATE(StartDate,A48-1)</f>
        <v>46692</v>
      </c>
      <c r="C48" s="24" t="str">
        <f aca="false">Monthly!$B$9</f>
        <v>EnergyWave, Inc.</v>
      </c>
      <c r="D48" s="24" t="str">
        <f aca="false">Monthly!$C$9</f>
        <v>Consulting</v>
      </c>
      <c r="E48" s="24" t="str">
        <f aca="false">Monthly!$D$9</f>
        <v>Consulting fee</v>
      </c>
      <c r="F48" s="24" t="str">
        <f aca="false">Monthly!$A$9</f>
        <v>Co-founder / Research Director (part-time)</v>
      </c>
      <c r="G48" s="20" t="n">
        <f aca="false">Monthly!P$9</f>
        <v>12500</v>
      </c>
      <c r="H48" s="24" t="str">
        <f aca="false">ScenarioName</f>
        <v>Base</v>
      </c>
    </row>
    <row r="49" customFormat="false" ht="15" hidden="false" customHeight="false" outlineLevel="0" collapsed="false">
      <c r="A49" s="8" t="n">
        <v>12</v>
      </c>
      <c r="B49" s="39" t="n">
        <f aca="false">EDATE(StartDate,A49-1)</f>
        <v>46722</v>
      </c>
      <c r="C49" s="24" t="str">
        <f aca="false">Monthly!$B$9</f>
        <v>EnergyWave, Inc.</v>
      </c>
      <c r="D49" s="24" t="str">
        <f aca="false">Monthly!$C$9</f>
        <v>Consulting</v>
      </c>
      <c r="E49" s="24" t="str">
        <f aca="false">Monthly!$D$9</f>
        <v>Consulting fee</v>
      </c>
      <c r="F49" s="24" t="str">
        <f aca="false">Monthly!$A$9</f>
        <v>Co-founder / Research Director (part-time)</v>
      </c>
      <c r="G49" s="20" t="n">
        <f aca="false">Monthly!Q$9</f>
        <v>12500</v>
      </c>
      <c r="H49" s="24" t="str">
        <f aca="false">ScenarioName</f>
        <v>Base</v>
      </c>
    </row>
    <row r="50" customFormat="false" ht="15" hidden="false" customHeight="false" outlineLevel="0" collapsed="false">
      <c r="A50" s="8" t="n">
        <v>13</v>
      </c>
      <c r="B50" s="39" t="n">
        <f aca="false">EDATE(StartDate,A50-1)</f>
        <v>46753</v>
      </c>
      <c r="C50" s="24" t="str">
        <f aca="false">Monthly!$B$9</f>
        <v>EnergyWave, Inc.</v>
      </c>
      <c r="D50" s="24" t="str">
        <f aca="false">Monthly!$C$9</f>
        <v>Consulting</v>
      </c>
      <c r="E50" s="24" t="str">
        <f aca="false">Monthly!$D$9</f>
        <v>Consulting fee</v>
      </c>
      <c r="F50" s="24" t="str">
        <f aca="false">Monthly!$A$9</f>
        <v>Co-founder / Research Director (part-time)</v>
      </c>
      <c r="G50" s="20" t="n">
        <f aca="false">Monthly!R$9</f>
        <v>12500</v>
      </c>
      <c r="H50" s="24" t="str">
        <f aca="false">ScenarioName</f>
        <v>Base</v>
      </c>
    </row>
    <row r="51" customFormat="false" ht="15" hidden="false" customHeight="false" outlineLevel="0" collapsed="false">
      <c r="A51" s="8" t="n">
        <v>14</v>
      </c>
      <c r="B51" s="39" t="n">
        <f aca="false">EDATE(StartDate,A51-1)</f>
        <v>46784</v>
      </c>
      <c r="C51" s="24" t="str">
        <f aca="false">Monthly!$B$9</f>
        <v>EnergyWave, Inc.</v>
      </c>
      <c r="D51" s="24" t="str">
        <f aca="false">Monthly!$C$9</f>
        <v>Consulting</v>
      </c>
      <c r="E51" s="24" t="str">
        <f aca="false">Monthly!$D$9</f>
        <v>Consulting fee</v>
      </c>
      <c r="F51" s="24" t="str">
        <f aca="false">Monthly!$A$9</f>
        <v>Co-founder / Research Director (part-time)</v>
      </c>
      <c r="G51" s="20" t="n">
        <f aca="false">Monthly!S$9</f>
        <v>12500</v>
      </c>
      <c r="H51" s="24" t="str">
        <f aca="false">ScenarioName</f>
        <v>Base</v>
      </c>
    </row>
    <row r="52" customFormat="false" ht="15" hidden="false" customHeight="false" outlineLevel="0" collapsed="false">
      <c r="A52" s="8" t="n">
        <v>15</v>
      </c>
      <c r="B52" s="39" t="n">
        <f aca="false">EDATE(StartDate,A52-1)</f>
        <v>46813</v>
      </c>
      <c r="C52" s="24" t="str">
        <f aca="false">Monthly!$B$9</f>
        <v>EnergyWave, Inc.</v>
      </c>
      <c r="D52" s="24" t="str">
        <f aca="false">Monthly!$C$9</f>
        <v>Consulting</v>
      </c>
      <c r="E52" s="24" t="str">
        <f aca="false">Monthly!$D$9</f>
        <v>Consulting fee</v>
      </c>
      <c r="F52" s="24" t="str">
        <f aca="false">Monthly!$A$9</f>
        <v>Co-founder / Research Director (part-time)</v>
      </c>
      <c r="G52" s="20" t="n">
        <f aca="false">Monthly!T$9</f>
        <v>12500</v>
      </c>
      <c r="H52" s="24" t="str">
        <f aca="false">ScenarioName</f>
        <v>Base</v>
      </c>
    </row>
    <row r="53" customFormat="false" ht="15" hidden="false" customHeight="false" outlineLevel="0" collapsed="false">
      <c r="A53" s="8" t="n">
        <v>16</v>
      </c>
      <c r="B53" s="39" t="n">
        <f aca="false">EDATE(StartDate,A53-1)</f>
        <v>46844</v>
      </c>
      <c r="C53" s="24" t="str">
        <f aca="false">Monthly!$B$9</f>
        <v>EnergyWave, Inc.</v>
      </c>
      <c r="D53" s="24" t="str">
        <f aca="false">Monthly!$C$9</f>
        <v>Consulting</v>
      </c>
      <c r="E53" s="24" t="str">
        <f aca="false">Monthly!$D$9</f>
        <v>Consulting fee</v>
      </c>
      <c r="F53" s="24" t="str">
        <f aca="false">Monthly!$A$9</f>
        <v>Co-founder / Research Director (part-time)</v>
      </c>
      <c r="G53" s="20" t="n">
        <f aca="false">Monthly!U$9</f>
        <v>12500</v>
      </c>
      <c r="H53" s="24" t="str">
        <f aca="false">ScenarioName</f>
        <v>Base</v>
      </c>
    </row>
    <row r="54" customFormat="false" ht="15" hidden="false" customHeight="false" outlineLevel="0" collapsed="false">
      <c r="A54" s="8" t="n">
        <v>17</v>
      </c>
      <c r="B54" s="39" t="n">
        <f aca="false">EDATE(StartDate,A54-1)</f>
        <v>46874</v>
      </c>
      <c r="C54" s="24" t="str">
        <f aca="false">Monthly!$B$9</f>
        <v>EnergyWave, Inc.</v>
      </c>
      <c r="D54" s="24" t="str">
        <f aca="false">Monthly!$C$9</f>
        <v>Consulting</v>
      </c>
      <c r="E54" s="24" t="str">
        <f aca="false">Monthly!$D$9</f>
        <v>Consulting fee</v>
      </c>
      <c r="F54" s="24" t="str">
        <f aca="false">Monthly!$A$9</f>
        <v>Co-founder / Research Director (part-time)</v>
      </c>
      <c r="G54" s="20" t="n">
        <f aca="false">Monthly!V$9</f>
        <v>12500</v>
      </c>
      <c r="H54" s="24" t="str">
        <f aca="false">ScenarioName</f>
        <v>Base</v>
      </c>
    </row>
    <row r="55" customFormat="false" ht="15" hidden="false" customHeight="false" outlineLevel="0" collapsed="false">
      <c r="A55" s="8" t="n">
        <v>18</v>
      </c>
      <c r="B55" s="39" t="n">
        <f aca="false">EDATE(StartDate,A55-1)</f>
        <v>46905</v>
      </c>
      <c r="C55" s="24" t="str">
        <f aca="false">Monthly!$B$9</f>
        <v>EnergyWave, Inc.</v>
      </c>
      <c r="D55" s="24" t="str">
        <f aca="false">Monthly!$C$9</f>
        <v>Consulting</v>
      </c>
      <c r="E55" s="24" t="str">
        <f aca="false">Monthly!$D$9</f>
        <v>Consulting fee</v>
      </c>
      <c r="F55" s="24" t="str">
        <f aca="false">Monthly!$A$9</f>
        <v>Co-founder / Research Director (part-time)</v>
      </c>
      <c r="G55" s="20" t="n">
        <f aca="false">Monthly!W$9</f>
        <v>12500</v>
      </c>
      <c r="H55" s="24" t="str">
        <f aca="false">ScenarioName</f>
        <v>Base</v>
      </c>
    </row>
    <row r="56" customFormat="false" ht="15" hidden="false" customHeight="false" outlineLevel="0" collapsed="false">
      <c r="A56" s="8" t="n">
        <v>19</v>
      </c>
      <c r="B56" s="39" t="n">
        <f aca="false">EDATE(StartDate,A56-1)</f>
        <v>46935</v>
      </c>
      <c r="C56" s="24" t="str">
        <f aca="false">Monthly!$B$9</f>
        <v>EnergyWave, Inc.</v>
      </c>
      <c r="D56" s="24" t="str">
        <f aca="false">Monthly!$C$9</f>
        <v>Consulting</v>
      </c>
      <c r="E56" s="24" t="str">
        <f aca="false">Monthly!$D$9</f>
        <v>Consulting fee</v>
      </c>
      <c r="F56" s="24" t="str">
        <f aca="false">Monthly!$A$9</f>
        <v>Co-founder / Research Director (part-time)</v>
      </c>
      <c r="G56" s="20" t="n">
        <f aca="false">Monthly!X$9</f>
        <v>12500</v>
      </c>
      <c r="H56" s="24" t="str">
        <f aca="false">ScenarioName</f>
        <v>Base</v>
      </c>
    </row>
    <row r="57" customFormat="false" ht="15" hidden="false" customHeight="false" outlineLevel="0" collapsed="false">
      <c r="A57" s="8" t="n">
        <v>20</v>
      </c>
      <c r="B57" s="39" t="n">
        <f aca="false">EDATE(StartDate,A57-1)</f>
        <v>46966</v>
      </c>
      <c r="C57" s="24" t="str">
        <f aca="false">Monthly!$B$9</f>
        <v>EnergyWave, Inc.</v>
      </c>
      <c r="D57" s="24" t="str">
        <f aca="false">Monthly!$C$9</f>
        <v>Consulting</v>
      </c>
      <c r="E57" s="24" t="str">
        <f aca="false">Monthly!$D$9</f>
        <v>Consulting fee</v>
      </c>
      <c r="F57" s="24" t="str">
        <f aca="false">Monthly!$A$9</f>
        <v>Co-founder / Research Director (part-time)</v>
      </c>
      <c r="G57" s="20" t="n">
        <f aca="false">Monthly!Y$9</f>
        <v>12500</v>
      </c>
      <c r="H57" s="24" t="str">
        <f aca="false">ScenarioName</f>
        <v>Base</v>
      </c>
    </row>
    <row r="58" customFormat="false" ht="15" hidden="false" customHeight="false" outlineLevel="0" collapsed="false">
      <c r="A58" s="8" t="n">
        <v>21</v>
      </c>
      <c r="B58" s="39" t="n">
        <f aca="false">EDATE(StartDate,A58-1)</f>
        <v>46997</v>
      </c>
      <c r="C58" s="24" t="str">
        <f aca="false">Monthly!$B$9</f>
        <v>EnergyWave, Inc.</v>
      </c>
      <c r="D58" s="24" t="str">
        <f aca="false">Monthly!$C$9</f>
        <v>Consulting</v>
      </c>
      <c r="E58" s="24" t="str">
        <f aca="false">Monthly!$D$9</f>
        <v>Consulting fee</v>
      </c>
      <c r="F58" s="24" t="str">
        <f aca="false">Monthly!$A$9</f>
        <v>Co-founder / Research Director (part-time)</v>
      </c>
      <c r="G58" s="20" t="n">
        <f aca="false">Monthly!Z$9</f>
        <v>12500</v>
      </c>
      <c r="H58" s="24" t="str">
        <f aca="false">ScenarioName</f>
        <v>Base</v>
      </c>
    </row>
    <row r="59" customFormat="false" ht="15" hidden="false" customHeight="false" outlineLevel="0" collapsed="false">
      <c r="A59" s="8" t="n">
        <v>22</v>
      </c>
      <c r="B59" s="39" t="n">
        <f aca="false">EDATE(StartDate,A59-1)</f>
        <v>47027</v>
      </c>
      <c r="C59" s="24" t="str">
        <f aca="false">Monthly!$B$9</f>
        <v>EnergyWave, Inc.</v>
      </c>
      <c r="D59" s="24" t="str">
        <f aca="false">Monthly!$C$9</f>
        <v>Consulting</v>
      </c>
      <c r="E59" s="24" t="str">
        <f aca="false">Monthly!$D$9</f>
        <v>Consulting fee</v>
      </c>
      <c r="F59" s="24" t="str">
        <f aca="false">Monthly!$A$9</f>
        <v>Co-founder / Research Director (part-time)</v>
      </c>
      <c r="G59" s="20" t="n">
        <f aca="false">Monthly!AA$9</f>
        <v>12500</v>
      </c>
      <c r="H59" s="24" t="str">
        <f aca="false">ScenarioName</f>
        <v>Base</v>
      </c>
    </row>
    <row r="60" customFormat="false" ht="15" hidden="false" customHeight="false" outlineLevel="0" collapsed="false">
      <c r="A60" s="8" t="n">
        <v>23</v>
      </c>
      <c r="B60" s="39" t="n">
        <f aca="false">EDATE(StartDate,A60-1)</f>
        <v>47058</v>
      </c>
      <c r="C60" s="24" t="str">
        <f aca="false">Monthly!$B$9</f>
        <v>EnergyWave, Inc.</v>
      </c>
      <c r="D60" s="24" t="str">
        <f aca="false">Monthly!$C$9</f>
        <v>Consulting</v>
      </c>
      <c r="E60" s="24" t="str">
        <f aca="false">Monthly!$D$9</f>
        <v>Consulting fee</v>
      </c>
      <c r="F60" s="24" t="str">
        <f aca="false">Monthly!$A$9</f>
        <v>Co-founder / Research Director (part-time)</v>
      </c>
      <c r="G60" s="20" t="n">
        <f aca="false">Monthly!AB$9</f>
        <v>12500</v>
      </c>
      <c r="H60" s="24" t="str">
        <f aca="false">ScenarioName</f>
        <v>Base</v>
      </c>
    </row>
    <row r="61" customFormat="false" ht="15" hidden="false" customHeight="false" outlineLevel="0" collapsed="false">
      <c r="A61" s="8" t="n">
        <v>24</v>
      </c>
      <c r="B61" s="39" t="n">
        <f aca="false">EDATE(StartDate,A61-1)</f>
        <v>47088</v>
      </c>
      <c r="C61" s="24" t="str">
        <f aca="false">Monthly!$B$9</f>
        <v>EnergyWave, Inc.</v>
      </c>
      <c r="D61" s="24" t="str">
        <f aca="false">Monthly!$C$9</f>
        <v>Consulting</v>
      </c>
      <c r="E61" s="24" t="str">
        <f aca="false">Monthly!$D$9</f>
        <v>Consulting fee</v>
      </c>
      <c r="F61" s="24" t="str">
        <f aca="false">Monthly!$A$9</f>
        <v>Co-founder / Research Director (part-time)</v>
      </c>
      <c r="G61" s="20" t="n">
        <f aca="false">Monthly!AC$9</f>
        <v>12500</v>
      </c>
      <c r="H61" s="24" t="str">
        <f aca="false">ScenarioName</f>
        <v>Base</v>
      </c>
    </row>
    <row r="62" customFormat="false" ht="15" hidden="false" customHeight="false" outlineLevel="0" collapsed="false">
      <c r="A62" s="8" t="n">
        <v>25</v>
      </c>
      <c r="B62" s="39" t="n">
        <f aca="false">EDATE(StartDate,A62-1)</f>
        <v>47119</v>
      </c>
      <c r="C62" s="24" t="str">
        <f aca="false">Monthly!$B$9</f>
        <v>EnergyWave, Inc.</v>
      </c>
      <c r="D62" s="24" t="str">
        <f aca="false">Monthly!$C$9</f>
        <v>Consulting</v>
      </c>
      <c r="E62" s="24" t="str">
        <f aca="false">Monthly!$D$9</f>
        <v>Consulting fee</v>
      </c>
      <c r="F62" s="24" t="str">
        <f aca="false">Monthly!$A$9</f>
        <v>Co-founder / Research Director (part-time)</v>
      </c>
      <c r="G62" s="20" t="n">
        <f aca="false">Monthly!AD$9</f>
        <v>12500</v>
      </c>
      <c r="H62" s="24" t="str">
        <f aca="false">ScenarioName</f>
        <v>Base</v>
      </c>
    </row>
    <row r="63" customFormat="false" ht="15" hidden="false" customHeight="false" outlineLevel="0" collapsed="false">
      <c r="A63" s="8" t="n">
        <v>26</v>
      </c>
      <c r="B63" s="39" t="n">
        <f aca="false">EDATE(StartDate,A63-1)</f>
        <v>47150</v>
      </c>
      <c r="C63" s="24" t="str">
        <f aca="false">Monthly!$B$9</f>
        <v>EnergyWave, Inc.</v>
      </c>
      <c r="D63" s="24" t="str">
        <f aca="false">Monthly!$C$9</f>
        <v>Consulting</v>
      </c>
      <c r="E63" s="24" t="str">
        <f aca="false">Monthly!$D$9</f>
        <v>Consulting fee</v>
      </c>
      <c r="F63" s="24" t="str">
        <f aca="false">Monthly!$A$9</f>
        <v>Co-founder / Research Director (part-time)</v>
      </c>
      <c r="G63" s="20" t="n">
        <f aca="false">Monthly!AE$9</f>
        <v>12500</v>
      </c>
      <c r="H63" s="24" t="str">
        <f aca="false">ScenarioName</f>
        <v>Base</v>
      </c>
    </row>
    <row r="64" customFormat="false" ht="15" hidden="false" customHeight="false" outlineLevel="0" collapsed="false">
      <c r="A64" s="8" t="n">
        <v>27</v>
      </c>
      <c r="B64" s="39" t="n">
        <f aca="false">EDATE(StartDate,A64-1)</f>
        <v>47178</v>
      </c>
      <c r="C64" s="24" t="str">
        <f aca="false">Monthly!$B$9</f>
        <v>EnergyWave, Inc.</v>
      </c>
      <c r="D64" s="24" t="str">
        <f aca="false">Monthly!$C$9</f>
        <v>Consulting</v>
      </c>
      <c r="E64" s="24" t="str">
        <f aca="false">Monthly!$D$9</f>
        <v>Consulting fee</v>
      </c>
      <c r="F64" s="24" t="str">
        <f aca="false">Monthly!$A$9</f>
        <v>Co-founder / Research Director (part-time)</v>
      </c>
      <c r="G64" s="20" t="n">
        <f aca="false">Monthly!AF$9</f>
        <v>12500</v>
      </c>
      <c r="H64" s="24" t="str">
        <f aca="false">ScenarioName</f>
        <v>Base</v>
      </c>
    </row>
    <row r="65" customFormat="false" ht="15" hidden="false" customHeight="false" outlineLevel="0" collapsed="false">
      <c r="A65" s="8" t="n">
        <v>28</v>
      </c>
      <c r="B65" s="39" t="n">
        <f aca="false">EDATE(StartDate,A65-1)</f>
        <v>47209</v>
      </c>
      <c r="C65" s="24" t="str">
        <f aca="false">Monthly!$B$9</f>
        <v>EnergyWave, Inc.</v>
      </c>
      <c r="D65" s="24" t="str">
        <f aca="false">Monthly!$C$9</f>
        <v>Consulting</v>
      </c>
      <c r="E65" s="24" t="str">
        <f aca="false">Monthly!$D$9</f>
        <v>Consulting fee</v>
      </c>
      <c r="F65" s="24" t="str">
        <f aca="false">Monthly!$A$9</f>
        <v>Co-founder / Research Director (part-time)</v>
      </c>
      <c r="G65" s="20" t="n">
        <f aca="false">Monthly!AG$9</f>
        <v>12500</v>
      </c>
      <c r="H65" s="24" t="str">
        <f aca="false">ScenarioName</f>
        <v>Base</v>
      </c>
    </row>
    <row r="66" customFormat="false" ht="15" hidden="false" customHeight="false" outlineLevel="0" collapsed="false">
      <c r="A66" s="8" t="n">
        <v>29</v>
      </c>
      <c r="B66" s="39" t="n">
        <f aca="false">EDATE(StartDate,A66-1)</f>
        <v>47239</v>
      </c>
      <c r="C66" s="24" t="str">
        <f aca="false">Monthly!$B$9</f>
        <v>EnergyWave, Inc.</v>
      </c>
      <c r="D66" s="24" t="str">
        <f aca="false">Monthly!$C$9</f>
        <v>Consulting</v>
      </c>
      <c r="E66" s="24" t="str">
        <f aca="false">Monthly!$D$9</f>
        <v>Consulting fee</v>
      </c>
      <c r="F66" s="24" t="str">
        <f aca="false">Monthly!$A$9</f>
        <v>Co-founder / Research Director (part-time)</v>
      </c>
      <c r="G66" s="20" t="n">
        <f aca="false">Monthly!AH$9</f>
        <v>12500</v>
      </c>
      <c r="H66" s="24" t="str">
        <f aca="false">ScenarioName</f>
        <v>Base</v>
      </c>
    </row>
    <row r="67" customFormat="false" ht="15" hidden="false" customHeight="false" outlineLevel="0" collapsed="false">
      <c r="A67" s="8" t="n">
        <v>30</v>
      </c>
      <c r="B67" s="39" t="n">
        <f aca="false">EDATE(StartDate,A67-1)</f>
        <v>47270</v>
      </c>
      <c r="C67" s="24" t="str">
        <f aca="false">Monthly!$B$9</f>
        <v>EnergyWave, Inc.</v>
      </c>
      <c r="D67" s="24" t="str">
        <f aca="false">Monthly!$C$9</f>
        <v>Consulting</v>
      </c>
      <c r="E67" s="24" t="str">
        <f aca="false">Monthly!$D$9</f>
        <v>Consulting fee</v>
      </c>
      <c r="F67" s="24" t="str">
        <f aca="false">Monthly!$A$9</f>
        <v>Co-founder / Research Director (part-time)</v>
      </c>
      <c r="G67" s="20" t="n">
        <f aca="false">Monthly!AI$9</f>
        <v>12500</v>
      </c>
      <c r="H67" s="24" t="str">
        <f aca="false">ScenarioName</f>
        <v>Base</v>
      </c>
    </row>
    <row r="68" customFormat="false" ht="15" hidden="false" customHeight="false" outlineLevel="0" collapsed="false">
      <c r="A68" s="8" t="n">
        <v>31</v>
      </c>
      <c r="B68" s="39" t="n">
        <f aca="false">EDATE(StartDate,A68-1)</f>
        <v>47300</v>
      </c>
      <c r="C68" s="24" t="str">
        <f aca="false">Monthly!$B$9</f>
        <v>EnergyWave, Inc.</v>
      </c>
      <c r="D68" s="24" t="str">
        <f aca="false">Monthly!$C$9</f>
        <v>Consulting</v>
      </c>
      <c r="E68" s="24" t="str">
        <f aca="false">Monthly!$D$9</f>
        <v>Consulting fee</v>
      </c>
      <c r="F68" s="24" t="str">
        <f aca="false">Monthly!$A$9</f>
        <v>Co-founder / Research Director (part-time)</v>
      </c>
      <c r="G68" s="20" t="n">
        <f aca="false">Monthly!AJ$9</f>
        <v>12500</v>
      </c>
      <c r="H68" s="24" t="str">
        <f aca="false">ScenarioName</f>
        <v>Base</v>
      </c>
    </row>
    <row r="69" customFormat="false" ht="15" hidden="false" customHeight="false" outlineLevel="0" collapsed="false">
      <c r="A69" s="8" t="n">
        <v>32</v>
      </c>
      <c r="B69" s="39" t="n">
        <f aca="false">EDATE(StartDate,A69-1)</f>
        <v>47331</v>
      </c>
      <c r="C69" s="24" t="str">
        <f aca="false">Monthly!$B$9</f>
        <v>EnergyWave, Inc.</v>
      </c>
      <c r="D69" s="24" t="str">
        <f aca="false">Monthly!$C$9</f>
        <v>Consulting</v>
      </c>
      <c r="E69" s="24" t="str">
        <f aca="false">Monthly!$D$9</f>
        <v>Consulting fee</v>
      </c>
      <c r="F69" s="24" t="str">
        <f aca="false">Monthly!$A$9</f>
        <v>Co-founder / Research Director (part-time)</v>
      </c>
      <c r="G69" s="20" t="n">
        <f aca="false">Monthly!AK$9</f>
        <v>12500</v>
      </c>
      <c r="H69" s="24" t="str">
        <f aca="false">ScenarioName</f>
        <v>Base</v>
      </c>
    </row>
    <row r="70" customFormat="false" ht="15" hidden="false" customHeight="false" outlineLevel="0" collapsed="false">
      <c r="A70" s="8" t="n">
        <v>33</v>
      </c>
      <c r="B70" s="39" t="n">
        <f aca="false">EDATE(StartDate,A70-1)</f>
        <v>47362</v>
      </c>
      <c r="C70" s="24" t="str">
        <f aca="false">Monthly!$B$9</f>
        <v>EnergyWave, Inc.</v>
      </c>
      <c r="D70" s="24" t="str">
        <f aca="false">Monthly!$C$9</f>
        <v>Consulting</v>
      </c>
      <c r="E70" s="24" t="str">
        <f aca="false">Monthly!$D$9</f>
        <v>Consulting fee</v>
      </c>
      <c r="F70" s="24" t="str">
        <f aca="false">Monthly!$A$9</f>
        <v>Co-founder / Research Director (part-time)</v>
      </c>
      <c r="G70" s="20" t="n">
        <f aca="false">Monthly!AL$9</f>
        <v>12500</v>
      </c>
      <c r="H70" s="24" t="str">
        <f aca="false">ScenarioName</f>
        <v>Base</v>
      </c>
    </row>
    <row r="71" customFormat="false" ht="15" hidden="false" customHeight="false" outlineLevel="0" collapsed="false">
      <c r="A71" s="8" t="n">
        <v>34</v>
      </c>
      <c r="B71" s="39" t="n">
        <f aca="false">EDATE(StartDate,A71-1)</f>
        <v>47392</v>
      </c>
      <c r="C71" s="24" t="str">
        <f aca="false">Monthly!$B$9</f>
        <v>EnergyWave, Inc.</v>
      </c>
      <c r="D71" s="24" t="str">
        <f aca="false">Monthly!$C$9</f>
        <v>Consulting</v>
      </c>
      <c r="E71" s="24" t="str">
        <f aca="false">Monthly!$D$9</f>
        <v>Consulting fee</v>
      </c>
      <c r="F71" s="24" t="str">
        <f aca="false">Monthly!$A$9</f>
        <v>Co-founder / Research Director (part-time)</v>
      </c>
      <c r="G71" s="20" t="n">
        <f aca="false">Monthly!AM$9</f>
        <v>12500</v>
      </c>
      <c r="H71" s="24" t="str">
        <f aca="false">ScenarioName</f>
        <v>Base</v>
      </c>
    </row>
    <row r="72" customFormat="false" ht="15" hidden="false" customHeight="false" outlineLevel="0" collapsed="false">
      <c r="A72" s="8" t="n">
        <v>35</v>
      </c>
      <c r="B72" s="39" t="n">
        <f aca="false">EDATE(StartDate,A72-1)</f>
        <v>47423</v>
      </c>
      <c r="C72" s="24" t="str">
        <f aca="false">Monthly!$B$9</f>
        <v>EnergyWave, Inc.</v>
      </c>
      <c r="D72" s="24" t="str">
        <f aca="false">Monthly!$C$9</f>
        <v>Consulting</v>
      </c>
      <c r="E72" s="24" t="str">
        <f aca="false">Monthly!$D$9</f>
        <v>Consulting fee</v>
      </c>
      <c r="F72" s="24" t="str">
        <f aca="false">Monthly!$A$9</f>
        <v>Co-founder / Research Director (part-time)</v>
      </c>
      <c r="G72" s="20" t="n">
        <f aca="false">Monthly!AN$9</f>
        <v>12500</v>
      </c>
      <c r="H72" s="24" t="str">
        <f aca="false">ScenarioName</f>
        <v>Base</v>
      </c>
    </row>
    <row r="73" customFormat="false" ht="15" hidden="false" customHeight="false" outlineLevel="0" collapsed="false">
      <c r="A73" s="8" t="n">
        <v>36</v>
      </c>
      <c r="B73" s="39" t="n">
        <f aca="false">EDATE(StartDate,A73-1)</f>
        <v>47453</v>
      </c>
      <c r="C73" s="24" t="str">
        <f aca="false">Monthly!$B$9</f>
        <v>EnergyWave, Inc.</v>
      </c>
      <c r="D73" s="24" t="str">
        <f aca="false">Monthly!$C$9</f>
        <v>Consulting</v>
      </c>
      <c r="E73" s="24" t="str">
        <f aca="false">Monthly!$D$9</f>
        <v>Consulting fee</v>
      </c>
      <c r="F73" s="24" t="str">
        <f aca="false">Monthly!$A$9</f>
        <v>Co-founder / Research Director (part-time)</v>
      </c>
      <c r="G73" s="20" t="n">
        <f aca="false">Monthly!AO$9</f>
        <v>12500</v>
      </c>
      <c r="H73" s="24" t="str">
        <f aca="false">ScenarioName</f>
        <v>Base</v>
      </c>
    </row>
    <row r="74" customFormat="false" ht="15" hidden="false" customHeight="false" outlineLevel="0" collapsed="false">
      <c r="A74" s="8" t="n">
        <v>1</v>
      </c>
      <c r="B74" s="39" t="n">
        <f aca="false">EDATE(StartDate,A74-1)</f>
        <v>46388</v>
      </c>
      <c r="C74" s="24" t="str">
        <f aca="false">Monthly!$B$10</f>
        <v>EnergyWave, Inc.</v>
      </c>
      <c r="D74" s="24" t="str">
        <f aca="false">Monthly!$C$10</f>
        <v>Payroll</v>
      </c>
      <c r="E74" s="24" t="str">
        <f aca="false">Monthly!$D$10</f>
        <v>Salary &amp; load</v>
      </c>
      <c r="F74" s="24" t="str">
        <f aca="false">Monthly!$A$10</f>
        <v>Applied Physicist 1</v>
      </c>
      <c r="G74" s="20" t="n">
        <f aca="false">Monthly!F$10</f>
        <v>0</v>
      </c>
      <c r="H74" s="24" t="str">
        <f aca="false">ScenarioName</f>
        <v>Base</v>
      </c>
    </row>
    <row r="75" customFormat="false" ht="15" hidden="false" customHeight="false" outlineLevel="0" collapsed="false">
      <c r="A75" s="8" t="n">
        <v>2</v>
      </c>
      <c r="B75" s="39" t="n">
        <f aca="false">EDATE(StartDate,A75-1)</f>
        <v>46419</v>
      </c>
      <c r="C75" s="24" t="str">
        <f aca="false">Monthly!$B$10</f>
        <v>EnergyWave, Inc.</v>
      </c>
      <c r="D75" s="24" t="str">
        <f aca="false">Monthly!$C$10</f>
        <v>Payroll</v>
      </c>
      <c r="E75" s="24" t="str">
        <f aca="false">Monthly!$D$10</f>
        <v>Salary &amp; load</v>
      </c>
      <c r="F75" s="24" t="str">
        <f aca="false">Monthly!$A$10</f>
        <v>Applied Physicist 1</v>
      </c>
      <c r="G75" s="20" t="n">
        <f aca="false">Monthly!G$10</f>
        <v>15250</v>
      </c>
      <c r="H75" s="24" t="str">
        <f aca="false">ScenarioName</f>
        <v>Base</v>
      </c>
    </row>
    <row r="76" customFormat="false" ht="15" hidden="false" customHeight="false" outlineLevel="0" collapsed="false">
      <c r="A76" s="8" t="n">
        <v>3</v>
      </c>
      <c r="B76" s="39" t="n">
        <f aca="false">EDATE(StartDate,A76-1)</f>
        <v>46447</v>
      </c>
      <c r="C76" s="24" t="str">
        <f aca="false">Monthly!$B$10</f>
        <v>EnergyWave, Inc.</v>
      </c>
      <c r="D76" s="24" t="str">
        <f aca="false">Monthly!$C$10</f>
        <v>Payroll</v>
      </c>
      <c r="E76" s="24" t="str">
        <f aca="false">Monthly!$D$10</f>
        <v>Salary &amp; load</v>
      </c>
      <c r="F76" s="24" t="str">
        <f aca="false">Monthly!$A$10</f>
        <v>Applied Physicist 1</v>
      </c>
      <c r="G76" s="20" t="n">
        <f aca="false">Monthly!H$10</f>
        <v>15250</v>
      </c>
      <c r="H76" s="24" t="str">
        <f aca="false">ScenarioName</f>
        <v>Base</v>
      </c>
    </row>
    <row r="77" customFormat="false" ht="15" hidden="false" customHeight="false" outlineLevel="0" collapsed="false">
      <c r="A77" s="8" t="n">
        <v>4</v>
      </c>
      <c r="B77" s="39" t="n">
        <f aca="false">EDATE(StartDate,A77-1)</f>
        <v>46478</v>
      </c>
      <c r="C77" s="24" t="str">
        <f aca="false">Monthly!$B$10</f>
        <v>EnergyWave, Inc.</v>
      </c>
      <c r="D77" s="24" t="str">
        <f aca="false">Monthly!$C$10</f>
        <v>Payroll</v>
      </c>
      <c r="E77" s="24" t="str">
        <f aca="false">Monthly!$D$10</f>
        <v>Salary &amp; load</v>
      </c>
      <c r="F77" s="24" t="str">
        <f aca="false">Monthly!$A$10</f>
        <v>Applied Physicist 1</v>
      </c>
      <c r="G77" s="20" t="n">
        <f aca="false">Monthly!I$10</f>
        <v>15250</v>
      </c>
      <c r="H77" s="24" t="str">
        <f aca="false">ScenarioName</f>
        <v>Base</v>
      </c>
    </row>
    <row r="78" customFormat="false" ht="15" hidden="false" customHeight="false" outlineLevel="0" collapsed="false">
      <c r="A78" s="8" t="n">
        <v>5</v>
      </c>
      <c r="B78" s="39" t="n">
        <f aca="false">EDATE(StartDate,A78-1)</f>
        <v>46508</v>
      </c>
      <c r="C78" s="24" t="str">
        <f aca="false">Monthly!$B$10</f>
        <v>EnergyWave, Inc.</v>
      </c>
      <c r="D78" s="24" t="str">
        <f aca="false">Monthly!$C$10</f>
        <v>Payroll</v>
      </c>
      <c r="E78" s="24" t="str">
        <f aca="false">Monthly!$D$10</f>
        <v>Salary &amp; load</v>
      </c>
      <c r="F78" s="24" t="str">
        <f aca="false">Monthly!$A$10</f>
        <v>Applied Physicist 1</v>
      </c>
      <c r="G78" s="20" t="n">
        <f aca="false">Monthly!J$10</f>
        <v>15250</v>
      </c>
      <c r="H78" s="24" t="str">
        <f aca="false">ScenarioName</f>
        <v>Base</v>
      </c>
    </row>
    <row r="79" customFormat="false" ht="15" hidden="false" customHeight="false" outlineLevel="0" collapsed="false">
      <c r="A79" s="8" t="n">
        <v>6</v>
      </c>
      <c r="B79" s="39" t="n">
        <f aca="false">EDATE(StartDate,A79-1)</f>
        <v>46539</v>
      </c>
      <c r="C79" s="24" t="str">
        <f aca="false">Monthly!$B$10</f>
        <v>EnergyWave, Inc.</v>
      </c>
      <c r="D79" s="24" t="str">
        <f aca="false">Monthly!$C$10</f>
        <v>Payroll</v>
      </c>
      <c r="E79" s="24" t="str">
        <f aca="false">Monthly!$D$10</f>
        <v>Salary &amp; load</v>
      </c>
      <c r="F79" s="24" t="str">
        <f aca="false">Monthly!$A$10</f>
        <v>Applied Physicist 1</v>
      </c>
      <c r="G79" s="20" t="n">
        <f aca="false">Monthly!K$10</f>
        <v>15250</v>
      </c>
      <c r="H79" s="24" t="str">
        <f aca="false">ScenarioName</f>
        <v>Base</v>
      </c>
    </row>
    <row r="80" customFormat="false" ht="15" hidden="false" customHeight="false" outlineLevel="0" collapsed="false">
      <c r="A80" s="8" t="n">
        <v>7</v>
      </c>
      <c r="B80" s="39" t="n">
        <f aca="false">EDATE(StartDate,A80-1)</f>
        <v>46569</v>
      </c>
      <c r="C80" s="24" t="str">
        <f aca="false">Monthly!$B$10</f>
        <v>EnergyWave, Inc.</v>
      </c>
      <c r="D80" s="24" t="str">
        <f aca="false">Monthly!$C$10</f>
        <v>Payroll</v>
      </c>
      <c r="E80" s="24" t="str">
        <f aca="false">Monthly!$D$10</f>
        <v>Salary &amp; load</v>
      </c>
      <c r="F80" s="24" t="str">
        <f aca="false">Monthly!$A$10</f>
        <v>Applied Physicist 1</v>
      </c>
      <c r="G80" s="20" t="n">
        <f aca="false">Monthly!L$10</f>
        <v>15250</v>
      </c>
      <c r="H80" s="24" t="str">
        <f aca="false">ScenarioName</f>
        <v>Base</v>
      </c>
    </row>
    <row r="81" customFormat="false" ht="15" hidden="false" customHeight="false" outlineLevel="0" collapsed="false">
      <c r="A81" s="8" t="n">
        <v>8</v>
      </c>
      <c r="B81" s="39" t="n">
        <f aca="false">EDATE(StartDate,A81-1)</f>
        <v>46600</v>
      </c>
      <c r="C81" s="24" t="str">
        <f aca="false">Monthly!$B$10</f>
        <v>EnergyWave, Inc.</v>
      </c>
      <c r="D81" s="24" t="str">
        <f aca="false">Monthly!$C$10</f>
        <v>Payroll</v>
      </c>
      <c r="E81" s="24" t="str">
        <f aca="false">Monthly!$D$10</f>
        <v>Salary &amp; load</v>
      </c>
      <c r="F81" s="24" t="str">
        <f aca="false">Monthly!$A$10</f>
        <v>Applied Physicist 1</v>
      </c>
      <c r="G81" s="20" t="n">
        <f aca="false">Monthly!M$10</f>
        <v>15250</v>
      </c>
      <c r="H81" s="24" t="str">
        <f aca="false">ScenarioName</f>
        <v>Base</v>
      </c>
    </row>
    <row r="82" customFormat="false" ht="15" hidden="false" customHeight="false" outlineLevel="0" collapsed="false">
      <c r="A82" s="8" t="n">
        <v>9</v>
      </c>
      <c r="B82" s="39" t="n">
        <f aca="false">EDATE(StartDate,A82-1)</f>
        <v>46631</v>
      </c>
      <c r="C82" s="24" t="str">
        <f aca="false">Monthly!$B$10</f>
        <v>EnergyWave, Inc.</v>
      </c>
      <c r="D82" s="24" t="str">
        <f aca="false">Monthly!$C$10</f>
        <v>Payroll</v>
      </c>
      <c r="E82" s="24" t="str">
        <f aca="false">Monthly!$D$10</f>
        <v>Salary &amp; load</v>
      </c>
      <c r="F82" s="24" t="str">
        <f aca="false">Monthly!$A$10</f>
        <v>Applied Physicist 1</v>
      </c>
      <c r="G82" s="20" t="n">
        <f aca="false">Monthly!N$10</f>
        <v>15250</v>
      </c>
      <c r="H82" s="24" t="str">
        <f aca="false">ScenarioName</f>
        <v>Base</v>
      </c>
    </row>
    <row r="83" customFormat="false" ht="15" hidden="false" customHeight="false" outlineLevel="0" collapsed="false">
      <c r="A83" s="8" t="n">
        <v>10</v>
      </c>
      <c r="B83" s="39" t="n">
        <f aca="false">EDATE(StartDate,A83-1)</f>
        <v>46661</v>
      </c>
      <c r="C83" s="24" t="str">
        <f aca="false">Monthly!$B$10</f>
        <v>EnergyWave, Inc.</v>
      </c>
      <c r="D83" s="24" t="str">
        <f aca="false">Monthly!$C$10</f>
        <v>Payroll</v>
      </c>
      <c r="E83" s="24" t="str">
        <f aca="false">Monthly!$D$10</f>
        <v>Salary &amp; load</v>
      </c>
      <c r="F83" s="24" t="str">
        <f aca="false">Monthly!$A$10</f>
        <v>Applied Physicist 1</v>
      </c>
      <c r="G83" s="20" t="n">
        <f aca="false">Monthly!O$10</f>
        <v>15250</v>
      </c>
      <c r="H83" s="24" t="str">
        <f aca="false">ScenarioName</f>
        <v>Base</v>
      </c>
    </row>
    <row r="84" customFormat="false" ht="15" hidden="false" customHeight="false" outlineLevel="0" collapsed="false">
      <c r="A84" s="8" t="n">
        <v>11</v>
      </c>
      <c r="B84" s="39" t="n">
        <f aca="false">EDATE(StartDate,A84-1)</f>
        <v>46692</v>
      </c>
      <c r="C84" s="24" t="str">
        <f aca="false">Monthly!$B$10</f>
        <v>EnergyWave, Inc.</v>
      </c>
      <c r="D84" s="24" t="str">
        <f aca="false">Monthly!$C$10</f>
        <v>Payroll</v>
      </c>
      <c r="E84" s="24" t="str">
        <f aca="false">Monthly!$D$10</f>
        <v>Salary &amp; load</v>
      </c>
      <c r="F84" s="24" t="str">
        <f aca="false">Monthly!$A$10</f>
        <v>Applied Physicist 1</v>
      </c>
      <c r="G84" s="20" t="n">
        <f aca="false">Monthly!P$10</f>
        <v>15250</v>
      </c>
      <c r="H84" s="24" t="str">
        <f aca="false">ScenarioName</f>
        <v>Base</v>
      </c>
    </row>
    <row r="85" customFormat="false" ht="15" hidden="false" customHeight="false" outlineLevel="0" collapsed="false">
      <c r="A85" s="8" t="n">
        <v>12</v>
      </c>
      <c r="B85" s="39" t="n">
        <f aca="false">EDATE(StartDate,A85-1)</f>
        <v>46722</v>
      </c>
      <c r="C85" s="24" t="str">
        <f aca="false">Monthly!$B$10</f>
        <v>EnergyWave, Inc.</v>
      </c>
      <c r="D85" s="24" t="str">
        <f aca="false">Monthly!$C$10</f>
        <v>Payroll</v>
      </c>
      <c r="E85" s="24" t="str">
        <f aca="false">Monthly!$D$10</f>
        <v>Salary &amp; load</v>
      </c>
      <c r="F85" s="24" t="str">
        <f aca="false">Monthly!$A$10</f>
        <v>Applied Physicist 1</v>
      </c>
      <c r="G85" s="20" t="n">
        <f aca="false">Monthly!Q$10</f>
        <v>15250</v>
      </c>
      <c r="H85" s="24" t="str">
        <f aca="false">ScenarioName</f>
        <v>Base</v>
      </c>
    </row>
    <row r="86" customFormat="false" ht="15" hidden="false" customHeight="false" outlineLevel="0" collapsed="false">
      <c r="A86" s="8" t="n">
        <v>13</v>
      </c>
      <c r="B86" s="39" t="n">
        <f aca="false">EDATE(StartDate,A86-1)</f>
        <v>46753</v>
      </c>
      <c r="C86" s="24" t="str">
        <f aca="false">Monthly!$B$10</f>
        <v>EnergyWave, Inc.</v>
      </c>
      <c r="D86" s="24" t="str">
        <f aca="false">Monthly!$C$10</f>
        <v>Payroll</v>
      </c>
      <c r="E86" s="24" t="str">
        <f aca="false">Monthly!$D$10</f>
        <v>Salary &amp; load</v>
      </c>
      <c r="F86" s="24" t="str">
        <f aca="false">Monthly!$A$10</f>
        <v>Applied Physicist 1</v>
      </c>
      <c r="G86" s="20" t="n">
        <f aca="false">Monthly!R$10</f>
        <v>15250</v>
      </c>
      <c r="H86" s="24" t="str">
        <f aca="false">ScenarioName</f>
        <v>Base</v>
      </c>
    </row>
    <row r="87" customFormat="false" ht="15" hidden="false" customHeight="false" outlineLevel="0" collapsed="false">
      <c r="A87" s="8" t="n">
        <v>14</v>
      </c>
      <c r="B87" s="39" t="n">
        <f aca="false">EDATE(StartDate,A87-1)</f>
        <v>46784</v>
      </c>
      <c r="C87" s="24" t="str">
        <f aca="false">Monthly!$B$10</f>
        <v>EnergyWave, Inc.</v>
      </c>
      <c r="D87" s="24" t="str">
        <f aca="false">Monthly!$C$10</f>
        <v>Payroll</v>
      </c>
      <c r="E87" s="24" t="str">
        <f aca="false">Monthly!$D$10</f>
        <v>Salary &amp; load</v>
      </c>
      <c r="F87" s="24" t="str">
        <f aca="false">Monthly!$A$10</f>
        <v>Applied Physicist 1</v>
      </c>
      <c r="G87" s="20" t="n">
        <f aca="false">Monthly!S$10</f>
        <v>15250</v>
      </c>
      <c r="H87" s="24" t="str">
        <f aca="false">ScenarioName</f>
        <v>Base</v>
      </c>
    </row>
    <row r="88" customFormat="false" ht="15" hidden="false" customHeight="false" outlineLevel="0" collapsed="false">
      <c r="A88" s="8" t="n">
        <v>15</v>
      </c>
      <c r="B88" s="39" t="n">
        <f aca="false">EDATE(StartDate,A88-1)</f>
        <v>46813</v>
      </c>
      <c r="C88" s="24" t="str">
        <f aca="false">Monthly!$B$10</f>
        <v>EnergyWave, Inc.</v>
      </c>
      <c r="D88" s="24" t="str">
        <f aca="false">Monthly!$C$10</f>
        <v>Payroll</v>
      </c>
      <c r="E88" s="24" t="str">
        <f aca="false">Monthly!$D$10</f>
        <v>Salary &amp; load</v>
      </c>
      <c r="F88" s="24" t="str">
        <f aca="false">Monthly!$A$10</f>
        <v>Applied Physicist 1</v>
      </c>
      <c r="G88" s="20" t="n">
        <f aca="false">Monthly!T$10</f>
        <v>15250</v>
      </c>
      <c r="H88" s="24" t="str">
        <f aca="false">ScenarioName</f>
        <v>Base</v>
      </c>
    </row>
    <row r="89" customFormat="false" ht="15" hidden="false" customHeight="false" outlineLevel="0" collapsed="false">
      <c r="A89" s="8" t="n">
        <v>16</v>
      </c>
      <c r="B89" s="39" t="n">
        <f aca="false">EDATE(StartDate,A89-1)</f>
        <v>46844</v>
      </c>
      <c r="C89" s="24" t="str">
        <f aca="false">Monthly!$B$10</f>
        <v>EnergyWave, Inc.</v>
      </c>
      <c r="D89" s="24" t="str">
        <f aca="false">Monthly!$C$10</f>
        <v>Payroll</v>
      </c>
      <c r="E89" s="24" t="str">
        <f aca="false">Monthly!$D$10</f>
        <v>Salary &amp; load</v>
      </c>
      <c r="F89" s="24" t="str">
        <f aca="false">Monthly!$A$10</f>
        <v>Applied Physicist 1</v>
      </c>
      <c r="G89" s="20" t="n">
        <f aca="false">Monthly!U$10</f>
        <v>15250</v>
      </c>
      <c r="H89" s="24" t="str">
        <f aca="false">ScenarioName</f>
        <v>Base</v>
      </c>
    </row>
    <row r="90" customFormat="false" ht="15" hidden="false" customHeight="false" outlineLevel="0" collapsed="false">
      <c r="A90" s="8" t="n">
        <v>17</v>
      </c>
      <c r="B90" s="39" t="n">
        <f aca="false">EDATE(StartDate,A90-1)</f>
        <v>46874</v>
      </c>
      <c r="C90" s="24" t="str">
        <f aca="false">Monthly!$B$10</f>
        <v>EnergyWave, Inc.</v>
      </c>
      <c r="D90" s="24" t="str">
        <f aca="false">Monthly!$C$10</f>
        <v>Payroll</v>
      </c>
      <c r="E90" s="24" t="str">
        <f aca="false">Monthly!$D$10</f>
        <v>Salary &amp; load</v>
      </c>
      <c r="F90" s="24" t="str">
        <f aca="false">Monthly!$A$10</f>
        <v>Applied Physicist 1</v>
      </c>
      <c r="G90" s="20" t="n">
        <f aca="false">Monthly!V$10</f>
        <v>15250</v>
      </c>
      <c r="H90" s="24" t="str">
        <f aca="false">ScenarioName</f>
        <v>Base</v>
      </c>
    </row>
    <row r="91" customFormat="false" ht="15" hidden="false" customHeight="false" outlineLevel="0" collapsed="false">
      <c r="A91" s="8" t="n">
        <v>18</v>
      </c>
      <c r="B91" s="39" t="n">
        <f aca="false">EDATE(StartDate,A91-1)</f>
        <v>46905</v>
      </c>
      <c r="C91" s="24" t="str">
        <f aca="false">Monthly!$B$10</f>
        <v>EnergyWave, Inc.</v>
      </c>
      <c r="D91" s="24" t="str">
        <f aca="false">Monthly!$C$10</f>
        <v>Payroll</v>
      </c>
      <c r="E91" s="24" t="str">
        <f aca="false">Monthly!$D$10</f>
        <v>Salary &amp; load</v>
      </c>
      <c r="F91" s="24" t="str">
        <f aca="false">Monthly!$A$10</f>
        <v>Applied Physicist 1</v>
      </c>
      <c r="G91" s="20" t="n">
        <f aca="false">Monthly!W$10</f>
        <v>15250</v>
      </c>
      <c r="H91" s="24" t="str">
        <f aca="false">ScenarioName</f>
        <v>Base</v>
      </c>
    </row>
    <row r="92" customFormat="false" ht="15" hidden="false" customHeight="false" outlineLevel="0" collapsed="false">
      <c r="A92" s="8" t="n">
        <v>19</v>
      </c>
      <c r="B92" s="39" t="n">
        <f aca="false">EDATE(StartDate,A92-1)</f>
        <v>46935</v>
      </c>
      <c r="C92" s="24" t="str">
        <f aca="false">Monthly!$B$10</f>
        <v>EnergyWave, Inc.</v>
      </c>
      <c r="D92" s="24" t="str">
        <f aca="false">Monthly!$C$10</f>
        <v>Payroll</v>
      </c>
      <c r="E92" s="24" t="str">
        <f aca="false">Monthly!$D$10</f>
        <v>Salary &amp; load</v>
      </c>
      <c r="F92" s="24" t="str">
        <f aca="false">Monthly!$A$10</f>
        <v>Applied Physicist 1</v>
      </c>
      <c r="G92" s="20" t="n">
        <f aca="false">Monthly!X$10</f>
        <v>15250</v>
      </c>
      <c r="H92" s="24" t="str">
        <f aca="false">ScenarioName</f>
        <v>Base</v>
      </c>
    </row>
    <row r="93" customFormat="false" ht="15" hidden="false" customHeight="false" outlineLevel="0" collapsed="false">
      <c r="A93" s="8" t="n">
        <v>20</v>
      </c>
      <c r="B93" s="39" t="n">
        <f aca="false">EDATE(StartDate,A93-1)</f>
        <v>46966</v>
      </c>
      <c r="C93" s="24" t="str">
        <f aca="false">Monthly!$B$10</f>
        <v>EnergyWave, Inc.</v>
      </c>
      <c r="D93" s="24" t="str">
        <f aca="false">Monthly!$C$10</f>
        <v>Payroll</v>
      </c>
      <c r="E93" s="24" t="str">
        <f aca="false">Monthly!$D$10</f>
        <v>Salary &amp; load</v>
      </c>
      <c r="F93" s="24" t="str">
        <f aca="false">Monthly!$A$10</f>
        <v>Applied Physicist 1</v>
      </c>
      <c r="G93" s="20" t="n">
        <f aca="false">Monthly!Y$10</f>
        <v>15250</v>
      </c>
      <c r="H93" s="24" t="str">
        <f aca="false">ScenarioName</f>
        <v>Base</v>
      </c>
    </row>
    <row r="94" customFormat="false" ht="15" hidden="false" customHeight="false" outlineLevel="0" collapsed="false">
      <c r="A94" s="8" t="n">
        <v>21</v>
      </c>
      <c r="B94" s="39" t="n">
        <f aca="false">EDATE(StartDate,A94-1)</f>
        <v>46997</v>
      </c>
      <c r="C94" s="24" t="str">
        <f aca="false">Monthly!$B$10</f>
        <v>EnergyWave, Inc.</v>
      </c>
      <c r="D94" s="24" t="str">
        <f aca="false">Monthly!$C$10</f>
        <v>Payroll</v>
      </c>
      <c r="E94" s="24" t="str">
        <f aca="false">Monthly!$D$10</f>
        <v>Salary &amp; load</v>
      </c>
      <c r="F94" s="24" t="str">
        <f aca="false">Monthly!$A$10</f>
        <v>Applied Physicist 1</v>
      </c>
      <c r="G94" s="20" t="n">
        <f aca="false">Monthly!Z$10</f>
        <v>15250</v>
      </c>
      <c r="H94" s="24" t="str">
        <f aca="false">ScenarioName</f>
        <v>Base</v>
      </c>
    </row>
    <row r="95" customFormat="false" ht="15" hidden="false" customHeight="false" outlineLevel="0" collapsed="false">
      <c r="A95" s="8" t="n">
        <v>22</v>
      </c>
      <c r="B95" s="39" t="n">
        <f aca="false">EDATE(StartDate,A95-1)</f>
        <v>47027</v>
      </c>
      <c r="C95" s="24" t="str">
        <f aca="false">Monthly!$B$10</f>
        <v>EnergyWave, Inc.</v>
      </c>
      <c r="D95" s="24" t="str">
        <f aca="false">Monthly!$C$10</f>
        <v>Payroll</v>
      </c>
      <c r="E95" s="24" t="str">
        <f aca="false">Monthly!$D$10</f>
        <v>Salary &amp; load</v>
      </c>
      <c r="F95" s="24" t="str">
        <f aca="false">Monthly!$A$10</f>
        <v>Applied Physicist 1</v>
      </c>
      <c r="G95" s="20" t="n">
        <f aca="false">Monthly!AA$10</f>
        <v>15250</v>
      </c>
      <c r="H95" s="24" t="str">
        <f aca="false">ScenarioName</f>
        <v>Base</v>
      </c>
    </row>
    <row r="96" customFormat="false" ht="15" hidden="false" customHeight="false" outlineLevel="0" collapsed="false">
      <c r="A96" s="8" t="n">
        <v>23</v>
      </c>
      <c r="B96" s="39" t="n">
        <f aca="false">EDATE(StartDate,A96-1)</f>
        <v>47058</v>
      </c>
      <c r="C96" s="24" t="str">
        <f aca="false">Monthly!$B$10</f>
        <v>EnergyWave, Inc.</v>
      </c>
      <c r="D96" s="24" t="str">
        <f aca="false">Monthly!$C$10</f>
        <v>Payroll</v>
      </c>
      <c r="E96" s="24" t="str">
        <f aca="false">Monthly!$D$10</f>
        <v>Salary &amp; load</v>
      </c>
      <c r="F96" s="24" t="str">
        <f aca="false">Monthly!$A$10</f>
        <v>Applied Physicist 1</v>
      </c>
      <c r="G96" s="20" t="n">
        <f aca="false">Monthly!AB$10</f>
        <v>15250</v>
      </c>
      <c r="H96" s="24" t="str">
        <f aca="false">ScenarioName</f>
        <v>Base</v>
      </c>
    </row>
    <row r="97" customFormat="false" ht="15" hidden="false" customHeight="false" outlineLevel="0" collapsed="false">
      <c r="A97" s="8" t="n">
        <v>24</v>
      </c>
      <c r="B97" s="39" t="n">
        <f aca="false">EDATE(StartDate,A97-1)</f>
        <v>47088</v>
      </c>
      <c r="C97" s="24" t="str">
        <f aca="false">Monthly!$B$10</f>
        <v>EnergyWave, Inc.</v>
      </c>
      <c r="D97" s="24" t="str">
        <f aca="false">Monthly!$C$10</f>
        <v>Payroll</v>
      </c>
      <c r="E97" s="24" t="str">
        <f aca="false">Monthly!$D$10</f>
        <v>Salary &amp; load</v>
      </c>
      <c r="F97" s="24" t="str">
        <f aca="false">Monthly!$A$10</f>
        <v>Applied Physicist 1</v>
      </c>
      <c r="G97" s="20" t="n">
        <f aca="false">Monthly!AC$10</f>
        <v>15250</v>
      </c>
      <c r="H97" s="24" t="str">
        <f aca="false">ScenarioName</f>
        <v>Base</v>
      </c>
    </row>
    <row r="98" customFormat="false" ht="15" hidden="false" customHeight="false" outlineLevel="0" collapsed="false">
      <c r="A98" s="8" t="n">
        <v>25</v>
      </c>
      <c r="B98" s="39" t="n">
        <f aca="false">EDATE(StartDate,A98-1)</f>
        <v>47119</v>
      </c>
      <c r="C98" s="24" t="str">
        <f aca="false">Monthly!$B$10</f>
        <v>EnergyWave, Inc.</v>
      </c>
      <c r="D98" s="24" t="str">
        <f aca="false">Monthly!$C$10</f>
        <v>Payroll</v>
      </c>
      <c r="E98" s="24" t="str">
        <f aca="false">Monthly!$D$10</f>
        <v>Salary &amp; load</v>
      </c>
      <c r="F98" s="24" t="str">
        <f aca="false">Monthly!$A$10</f>
        <v>Applied Physicist 1</v>
      </c>
      <c r="G98" s="20" t="n">
        <f aca="false">Monthly!AD$10</f>
        <v>15250</v>
      </c>
      <c r="H98" s="24" t="str">
        <f aca="false">ScenarioName</f>
        <v>Base</v>
      </c>
    </row>
    <row r="99" customFormat="false" ht="15" hidden="false" customHeight="false" outlineLevel="0" collapsed="false">
      <c r="A99" s="8" t="n">
        <v>26</v>
      </c>
      <c r="B99" s="39" t="n">
        <f aca="false">EDATE(StartDate,A99-1)</f>
        <v>47150</v>
      </c>
      <c r="C99" s="24" t="str">
        <f aca="false">Monthly!$B$10</f>
        <v>EnergyWave, Inc.</v>
      </c>
      <c r="D99" s="24" t="str">
        <f aca="false">Monthly!$C$10</f>
        <v>Payroll</v>
      </c>
      <c r="E99" s="24" t="str">
        <f aca="false">Monthly!$D$10</f>
        <v>Salary &amp; load</v>
      </c>
      <c r="F99" s="24" t="str">
        <f aca="false">Monthly!$A$10</f>
        <v>Applied Physicist 1</v>
      </c>
      <c r="G99" s="20" t="n">
        <f aca="false">Monthly!AE$10</f>
        <v>15250</v>
      </c>
      <c r="H99" s="24" t="str">
        <f aca="false">ScenarioName</f>
        <v>Base</v>
      </c>
    </row>
    <row r="100" customFormat="false" ht="15" hidden="false" customHeight="false" outlineLevel="0" collapsed="false">
      <c r="A100" s="8" t="n">
        <v>27</v>
      </c>
      <c r="B100" s="39" t="n">
        <f aca="false">EDATE(StartDate,A100-1)</f>
        <v>47178</v>
      </c>
      <c r="C100" s="24" t="str">
        <f aca="false">Monthly!$B$10</f>
        <v>EnergyWave, Inc.</v>
      </c>
      <c r="D100" s="24" t="str">
        <f aca="false">Monthly!$C$10</f>
        <v>Payroll</v>
      </c>
      <c r="E100" s="24" t="str">
        <f aca="false">Monthly!$D$10</f>
        <v>Salary &amp; load</v>
      </c>
      <c r="F100" s="24" t="str">
        <f aca="false">Monthly!$A$10</f>
        <v>Applied Physicist 1</v>
      </c>
      <c r="G100" s="20" t="n">
        <f aca="false">Monthly!AF$10</f>
        <v>15250</v>
      </c>
      <c r="H100" s="24" t="str">
        <f aca="false">ScenarioName</f>
        <v>Base</v>
      </c>
    </row>
    <row r="101" customFormat="false" ht="15" hidden="false" customHeight="false" outlineLevel="0" collapsed="false">
      <c r="A101" s="8" t="n">
        <v>28</v>
      </c>
      <c r="B101" s="39" t="n">
        <f aca="false">EDATE(StartDate,A101-1)</f>
        <v>47209</v>
      </c>
      <c r="C101" s="24" t="str">
        <f aca="false">Monthly!$B$10</f>
        <v>EnergyWave, Inc.</v>
      </c>
      <c r="D101" s="24" t="str">
        <f aca="false">Monthly!$C$10</f>
        <v>Payroll</v>
      </c>
      <c r="E101" s="24" t="str">
        <f aca="false">Monthly!$D$10</f>
        <v>Salary &amp; load</v>
      </c>
      <c r="F101" s="24" t="str">
        <f aca="false">Monthly!$A$10</f>
        <v>Applied Physicist 1</v>
      </c>
      <c r="G101" s="20" t="n">
        <f aca="false">Monthly!AG$10</f>
        <v>15250</v>
      </c>
      <c r="H101" s="24" t="str">
        <f aca="false">ScenarioName</f>
        <v>Base</v>
      </c>
    </row>
    <row r="102" customFormat="false" ht="15" hidden="false" customHeight="false" outlineLevel="0" collapsed="false">
      <c r="A102" s="8" t="n">
        <v>29</v>
      </c>
      <c r="B102" s="39" t="n">
        <f aca="false">EDATE(StartDate,A102-1)</f>
        <v>47239</v>
      </c>
      <c r="C102" s="24" t="str">
        <f aca="false">Monthly!$B$10</f>
        <v>EnergyWave, Inc.</v>
      </c>
      <c r="D102" s="24" t="str">
        <f aca="false">Monthly!$C$10</f>
        <v>Payroll</v>
      </c>
      <c r="E102" s="24" t="str">
        <f aca="false">Monthly!$D$10</f>
        <v>Salary &amp; load</v>
      </c>
      <c r="F102" s="24" t="str">
        <f aca="false">Monthly!$A$10</f>
        <v>Applied Physicist 1</v>
      </c>
      <c r="G102" s="20" t="n">
        <f aca="false">Monthly!AH$10</f>
        <v>15250</v>
      </c>
      <c r="H102" s="24" t="str">
        <f aca="false">ScenarioName</f>
        <v>Base</v>
      </c>
    </row>
    <row r="103" customFormat="false" ht="15" hidden="false" customHeight="false" outlineLevel="0" collapsed="false">
      <c r="A103" s="8" t="n">
        <v>30</v>
      </c>
      <c r="B103" s="39" t="n">
        <f aca="false">EDATE(StartDate,A103-1)</f>
        <v>47270</v>
      </c>
      <c r="C103" s="24" t="str">
        <f aca="false">Monthly!$B$10</f>
        <v>EnergyWave, Inc.</v>
      </c>
      <c r="D103" s="24" t="str">
        <f aca="false">Monthly!$C$10</f>
        <v>Payroll</v>
      </c>
      <c r="E103" s="24" t="str">
        <f aca="false">Monthly!$D$10</f>
        <v>Salary &amp; load</v>
      </c>
      <c r="F103" s="24" t="str">
        <f aca="false">Monthly!$A$10</f>
        <v>Applied Physicist 1</v>
      </c>
      <c r="G103" s="20" t="n">
        <f aca="false">Monthly!AI$10</f>
        <v>15250</v>
      </c>
      <c r="H103" s="24" t="str">
        <f aca="false">ScenarioName</f>
        <v>Base</v>
      </c>
    </row>
    <row r="104" customFormat="false" ht="15" hidden="false" customHeight="false" outlineLevel="0" collapsed="false">
      <c r="A104" s="8" t="n">
        <v>31</v>
      </c>
      <c r="B104" s="39" t="n">
        <f aca="false">EDATE(StartDate,A104-1)</f>
        <v>47300</v>
      </c>
      <c r="C104" s="24" t="str">
        <f aca="false">Monthly!$B$10</f>
        <v>EnergyWave, Inc.</v>
      </c>
      <c r="D104" s="24" t="str">
        <f aca="false">Monthly!$C$10</f>
        <v>Payroll</v>
      </c>
      <c r="E104" s="24" t="str">
        <f aca="false">Monthly!$D$10</f>
        <v>Salary &amp; load</v>
      </c>
      <c r="F104" s="24" t="str">
        <f aca="false">Monthly!$A$10</f>
        <v>Applied Physicist 1</v>
      </c>
      <c r="G104" s="20" t="n">
        <f aca="false">Monthly!AJ$10</f>
        <v>15250</v>
      </c>
      <c r="H104" s="24" t="str">
        <f aca="false">ScenarioName</f>
        <v>Base</v>
      </c>
    </row>
    <row r="105" customFormat="false" ht="15" hidden="false" customHeight="false" outlineLevel="0" collapsed="false">
      <c r="A105" s="8" t="n">
        <v>32</v>
      </c>
      <c r="B105" s="39" t="n">
        <f aca="false">EDATE(StartDate,A105-1)</f>
        <v>47331</v>
      </c>
      <c r="C105" s="24" t="str">
        <f aca="false">Monthly!$B$10</f>
        <v>EnergyWave, Inc.</v>
      </c>
      <c r="D105" s="24" t="str">
        <f aca="false">Monthly!$C$10</f>
        <v>Payroll</v>
      </c>
      <c r="E105" s="24" t="str">
        <f aca="false">Monthly!$D$10</f>
        <v>Salary &amp; load</v>
      </c>
      <c r="F105" s="24" t="str">
        <f aca="false">Monthly!$A$10</f>
        <v>Applied Physicist 1</v>
      </c>
      <c r="G105" s="20" t="n">
        <f aca="false">Monthly!AK$10</f>
        <v>15250</v>
      </c>
      <c r="H105" s="24" t="str">
        <f aca="false">ScenarioName</f>
        <v>Base</v>
      </c>
    </row>
    <row r="106" customFormat="false" ht="15" hidden="false" customHeight="false" outlineLevel="0" collapsed="false">
      <c r="A106" s="8" t="n">
        <v>33</v>
      </c>
      <c r="B106" s="39" t="n">
        <f aca="false">EDATE(StartDate,A106-1)</f>
        <v>47362</v>
      </c>
      <c r="C106" s="24" t="str">
        <f aca="false">Monthly!$B$10</f>
        <v>EnergyWave, Inc.</v>
      </c>
      <c r="D106" s="24" t="str">
        <f aca="false">Monthly!$C$10</f>
        <v>Payroll</v>
      </c>
      <c r="E106" s="24" t="str">
        <f aca="false">Monthly!$D$10</f>
        <v>Salary &amp; load</v>
      </c>
      <c r="F106" s="24" t="str">
        <f aca="false">Monthly!$A$10</f>
        <v>Applied Physicist 1</v>
      </c>
      <c r="G106" s="20" t="n">
        <f aca="false">Monthly!AL$10</f>
        <v>15250</v>
      </c>
      <c r="H106" s="24" t="str">
        <f aca="false">ScenarioName</f>
        <v>Base</v>
      </c>
    </row>
    <row r="107" customFormat="false" ht="15" hidden="false" customHeight="false" outlineLevel="0" collapsed="false">
      <c r="A107" s="8" t="n">
        <v>34</v>
      </c>
      <c r="B107" s="39" t="n">
        <f aca="false">EDATE(StartDate,A107-1)</f>
        <v>47392</v>
      </c>
      <c r="C107" s="24" t="str">
        <f aca="false">Monthly!$B$10</f>
        <v>EnergyWave, Inc.</v>
      </c>
      <c r="D107" s="24" t="str">
        <f aca="false">Monthly!$C$10</f>
        <v>Payroll</v>
      </c>
      <c r="E107" s="24" t="str">
        <f aca="false">Monthly!$D$10</f>
        <v>Salary &amp; load</v>
      </c>
      <c r="F107" s="24" t="str">
        <f aca="false">Monthly!$A$10</f>
        <v>Applied Physicist 1</v>
      </c>
      <c r="G107" s="20" t="n">
        <f aca="false">Monthly!AM$10</f>
        <v>15250</v>
      </c>
      <c r="H107" s="24" t="str">
        <f aca="false">ScenarioName</f>
        <v>Base</v>
      </c>
    </row>
    <row r="108" customFormat="false" ht="15" hidden="false" customHeight="false" outlineLevel="0" collapsed="false">
      <c r="A108" s="8" t="n">
        <v>35</v>
      </c>
      <c r="B108" s="39" t="n">
        <f aca="false">EDATE(StartDate,A108-1)</f>
        <v>47423</v>
      </c>
      <c r="C108" s="24" t="str">
        <f aca="false">Monthly!$B$10</f>
        <v>EnergyWave, Inc.</v>
      </c>
      <c r="D108" s="24" t="str">
        <f aca="false">Monthly!$C$10</f>
        <v>Payroll</v>
      </c>
      <c r="E108" s="24" t="str">
        <f aca="false">Monthly!$D$10</f>
        <v>Salary &amp; load</v>
      </c>
      <c r="F108" s="24" t="str">
        <f aca="false">Monthly!$A$10</f>
        <v>Applied Physicist 1</v>
      </c>
      <c r="G108" s="20" t="n">
        <f aca="false">Monthly!AN$10</f>
        <v>15250</v>
      </c>
      <c r="H108" s="24" t="str">
        <f aca="false">ScenarioName</f>
        <v>Base</v>
      </c>
    </row>
    <row r="109" customFormat="false" ht="15" hidden="false" customHeight="false" outlineLevel="0" collapsed="false">
      <c r="A109" s="8" t="n">
        <v>36</v>
      </c>
      <c r="B109" s="39" t="n">
        <f aca="false">EDATE(StartDate,A109-1)</f>
        <v>47453</v>
      </c>
      <c r="C109" s="24" t="str">
        <f aca="false">Monthly!$B$10</f>
        <v>EnergyWave, Inc.</v>
      </c>
      <c r="D109" s="24" t="str">
        <f aca="false">Monthly!$C$10</f>
        <v>Payroll</v>
      </c>
      <c r="E109" s="24" t="str">
        <f aca="false">Monthly!$D$10</f>
        <v>Salary &amp; load</v>
      </c>
      <c r="F109" s="24" t="str">
        <f aca="false">Monthly!$A$10</f>
        <v>Applied Physicist 1</v>
      </c>
      <c r="G109" s="20" t="n">
        <f aca="false">Monthly!AO$10</f>
        <v>15250</v>
      </c>
      <c r="H109" s="24" t="str">
        <f aca="false">ScenarioName</f>
        <v>Base</v>
      </c>
    </row>
    <row r="110" customFormat="false" ht="15" hidden="false" customHeight="false" outlineLevel="0" collapsed="false">
      <c r="A110" s="8" t="n">
        <v>1</v>
      </c>
      <c r="B110" s="39" t="n">
        <f aca="false">EDATE(StartDate,A110-1)</f>
        <v>46388</v>
      </c>
      <c r="C110" s="24" t="str">
        <f aca="false">Monthly!$B$11</f>
        <v>EnergyWave, Inc.</v>
      </c>
      <c r="D110" s="24" t="str">
        <f aca="false">Monthly!$C$11</f>
        <v>Payroll</v>
      </c>
      <c r="E110" s="24" t="str">
        <f aca="false">Monthly!$D$11</f>
        <v>Salary &amp; load</v>
      </c>
      <c r="F110" s="24" t="str">
        <f aca="false">Monthly!$A$11</f>
        <v>Applied Physicist 2</v>
      </c>
      <c r="G110" s="20" t="n">
        <f aca="false">Monthly!F$11</f>
        <v>0</v>
      </c>
      <c r="H110" s="24" t="str">
        <f aca="false">ScenarioName</f>
        <v>Base</v>
      </c>
    </row>
    <row r="111" customFormat="false" ht="15" hidden="false" customHeight="false" outlineLevel="0" collapsed="false">
      <c r="A111" s="8" t="n">
        <v>2</v>
      </c>
      <c r="B111" s="39" t="n">
        <f aca="false">EDATE(StartDate,A111-1)</f>
        <v>46419</v>
      </c>
      <c r="C111" s="24" t="str">
        <f aca="false">Monthly!$B$11</f>
        <v>EnergyWave, Inc.</v>
      </c>
      <c r="D111" s="24" t="str">
        <f aca="false">Monthly!$C$11</f>
        <v>Payroll</v>
      </c>
      <c r="E111" s="24" t="str">
        <f aca="false">Monthly!$D$11</f>
        <v>Salary &amp; load</v>
      </c>
      <c r="F111" s="24" t="str">
        <f aca="false">Monthly!$A$11</f>
        <v>Applied Physicist 2</v>
      </c>
      <c r="G111" s="20" t="n">
        <f aca="false">Monthly!G$11</f>
        <v>15250</v>
      </c>
      <c r="H111" s="24" t="str">
        <f aca="false">ScenarioName</f>
        <v>Base</v>
      </c>
    </row>
    <row r="112" customFormat="false" ht="15" hidden="false" customHeight="false" outlineLevel="0" collapsed="false">
      <c r="A112" s="8" t="n">
        <v>3</v>
      </c>
      <c r="B112" s="39" t="n">
        <f aca="false">EDATE(StartDate,A112-1)</f>
        <v>46447</v>
      </c>
      <c r="C112" s="24" t="str">
        <f aca="false">Monthly!$B$11</f>
        <v>EnergyWave, Inc.</v>
      </c>
      <c r="D112" s="24" t="str">
        <f aca="false">Monthly!$C$11</f>
        <v>Payroll</v>
      </c>
      <c r="E112" s="24" t="str">
        <f aca="false">Monthly!$D$11</f>
        <v>Salary &amp; load</v>
      </c>
      <c r="F112" s="24" t="str">
        <f aca="false">Monthly!$A$11</f>
        <v>Applied Physicist 2</v>
      </c>
      <c r="G112" s="20" t="n">
        <f aca="false">Monthly!H$11</f>
        <v>15250</v>
      </c>
      <c r="H112" s="24" t="str">
        <f aca="false">ScenarioName</f>
        <v>Base</v>
      </c>
    </row>
    <row r="113" customFormat="false" ht="15" hidden="false" customHeight="false" outlineLevel="0" collapsed="false">
      <c r="A113" s="8" t="n">
        <v>4</v>
      </c>
      <c r="B113" s="39" t="n">
        <f aca="false">EDATE(StartDate,A113-1)</f>
        <v>46478</v>
      </c>
      <c r="C113" s="24" t="str">
        <f aca="false">Monthly!$B$11</f>
        <v>EnergyWave, Inc.</v>
      </c>
      <c r="D113" s="24" t="str">
        <f aca="false">Monthly!$C$11</f>
        <v>Payroll</v>
      </c>
      <c r="E113" s="24" t="str">
        <f aca="false">Monthly!$D$11</f>
        <v>Salary &amp; load</v>
      </c>
      <c r="F113" s="24" t="str">
        <f aca="false">Monthly!$A$11</f>
        <v>Applied Physicist 2</v>
      </c>
      <c r="G113" s="20" t="n">
        <f aca="false">Monthly!I$11</f>
        <v>15250</v>
      </c>
      <c r="H113" s="24" t="str">
        <f aca="false">ScenarioName</f>
        <v>Base</v>
      </c>
    </row>
    <row r="114" customFormat="false" ht="15" hidden="false" customHeight="false" outlineLevel="0" collapsed="false">
      <c r="A114" s="8" t="n">
        <v>5</v>
      </c>
      <c r="B114" s="39" t="n">
        <f aca="false">EDATE(StartDate,A114-1)</f>
        <v>46508</v>
      </c>
      <c r="C114" s="24" t="str">
        <f aca="false">Monthly!$B$11</f>
        <v>EnergyWave, Inc.</v>
      </c>
      <c r="D114" s="24" t="str">
        <f aca="false">Monthly!$C$11</f>
        <v>Payroll</v>
      </c>
      <c r="E114" s="24" t="str">
        <f aca="false">Monthly!$D$11</f>
        <v>Salary &amp; load</v>
      </c>
      <c r="F114" s="24" t="str">
        <f aca="false">Monthly!$A$11</f>
        <v>Applied Physicist 2</v>
      </c>
      <c r="G114" s="20" t="n">
        <f aca="false">Monthly!J$11</f>
        <v>15250</v>
      </c>
      <c r="H114" s="24" t="str">
        <f aca="false">ScenarioName</f>
        <v>Base</v>
      </c>
    </row>
    <row r="115" customFormat="false" ht="15" hidden="false" customHeight="false" outlineLevel="0" collapsed="false">
      <c r="A115" s="8" t="n">
        <v>6</v>
      </c>
      <c r="B115" s="39" t="n">
        <f aca="false">EDATE(StartDate,A115-1)</f>
        <v>46539</v>
      </c>
      <c r="C115" s="24" t="str">
        <f aca="false">Monthly!$B$11</f>
        <v>EnergyWave, Inc.</v>
      </c>
      <c r="D115" s="24" t="str">
        <f aca="false">Monthly!$C$11</f>
        <v>Payroll</v>
      </c>
      <c r="E115" s="24" t="str">
        <f aca="false">Monthly!$D$11</f>
        <v>Salary &amp; load</v>
      </c>
      <c r="F115" s="24" t="str">
        <f aca="false">Monthly!$A$11</f>
        <v>Applied Physicist 2</v>
      </c>
      <c r="G115" s="20" t="n">
        <f aca="false">Monthly!K$11</f>
        <v>15250</v>
      </c>
      <c r="H115" s="24" t="str">
        <f aca="false">ScenarioName</f>
        <v>Base</v>
      </c>
    </row>
    <row r="116" customFormat="false" ht="15" hidden="false" customHeight="false" outlineLevel="0" collapsed="false">
      <c r="A116" s="8" t="n">
        <v>7</v>
      </c>
      <c r="B116" s="39" t="n">
        <f aca="false">EDATE(StartDate,A116-1)</f>
        <v>46569</v>
      </c>
      <c r="C116" s="24" t="str">
        <f aca="false">Monthly!$B$11</f>
        <v>EnergyWave, Inc.</v>
      </c>
      <c r="D116" s="24" t="str">
        <f aca="false">Monthly!$C$11</f>
        <v>Payroll</v>
      </c>
      <c r="E116" s="24" t="str">
        <f aca="false">Monthly!$D$11</f>
        <v>Salary &amp; load</v>
      </c>
      <c r="F116" s="24" t="str">
        <f aca="false">Monthly!$A$11</f>
        <v>Applied Physicist 2</v>
      </c>
      <c r="G116" s="20" t="n">
        <f aca="false">Monthly!L$11</f>
        <v>15250</v>
      </c>
      <c r="H116" s="24" t="str">
        <f aca="false">ScenarioName</f>
        <v>Base</v>
      </c>
    </row>
    <row r="117" customFormat="false" ht="15" hidden="false" customHeight="false" outlineLevel="0" collapsed="false">
      <c r="A117" s="8" t="n">
        <v>8</v>
      </c>
      <c r="B117" s="39" t="n">
        <f aca="false">EDATE(StartDate,A117-1)</f>
        <v>46600</v>
      </c>
      <c r="C117" s="24" t="str">
        <f aca="false">Monthly!$B$11</f>
        <v>EnergyWave, Inc.</v>
      </c>
      <c r="D117" s="24" t="str">
        <f aca="false">Monthly!$C$11</f>
        <v>Payroll</v>
      </c>
      <c r="E117" s="24" t="str">
        <f aca="false">Monthly!$D$11</f>
        <v>Salary &amp; load</v>
      </c>
      <c r="F117" s="24" t="str">
        <f aca="false">Monthly!$A$11</f>
        <v>Applied Physicist 2</v>
      </c>
      <c r="G117" s="20" t="n">
        <f aca="false">Monthly!M$11</f>
        <v>15250</v>
      </c>
      <c r="H117" s="24" t="str">
        <f aca="false">ScenarioName</f>
        <v>Base</v>
      </c>
    </row>
    <row r="118" customFormat="false" ht="15" hidden="false" customHeight="false" outlineLevel="0" collapsed="false">
      <c r="A118" s="8" t="n">
        <v>9</v>
      </c>
      <c r="B118" s="39" t="n">
        <f aca="false">EDATE(StartDate,A118-1)</f>
        <v>46631</v>
      </c>
      <c r="C118" s="24" t="str">
        <f aca="false">Monthly!$B$11</f>
        <v>EnergyWave, Inc.</v>
      </c>
      <c r="D118" s="24" t="str">
        <f aca="false">Monthly!$C$11</f>
        <v>Payroll</v>
      </c>
      <c r="E118" s="24" t="str">
        <f aca="false">Monthly!$D$11</f>
        <v>Salary &amp; load</v>
      </c>
      <c r="F118" s="24" t="str">
        <f aca="false">Monthly!$A$11</f>
        <v>Applied Physicist 2</v>
      </c>
      <c r="G118" s="20" t="n">
        <f aca="false">Monthly!N$11</f>
        <v>15250</v>
      </c>
      <c r="H118" s="24" t="str">
        <f aca="false">ScenarioName</f>
        <v>Base</v>
      </c>
    </row>
    <row r="119" customFormat="false" ht="15" hidden="false" customHeight="false" outlineLevel="0" collapsed="false">
      <c r="A119" s="8" t="n">
        <v>10</v>
      </c>
      <c r="B119" s="39" t="n">
        <f aca="false">EDATE(StartDate,A119-1)</f>
        <v>46661</v>
      </c>
      <c r="C119" s="24" t="str">
        <f aca="false">Monthly!$B$11</f>
        <v>EnergyWave, Inc.</v>
      </c>
      <c r="D119" s="24" t="str">
        <f aca="false">Monthly!$C$11</f>
        <v>Payroll</v>
      </c>
      <c r="E119" s="24" t="str">
        <f aca="false">Monthly!$D$11</f>
        <v>Salary &amp; load</v>
      </c>
      <c r="F119" s="24" t="str">
        <f aca="false">Monthly!$A$11</f>
        <v>Applied Physicist 2</v>
      </c>
      <c r="G119" s="20" t="n">
        <f aca="false">Monthly!O$11</f>
        <v>15250</v>
      </c>
      <c r="H119" s="24" t="str">
        <f aca="false">ScenarioName</f>
        <v>Base</v>
      </c>
    </row>
    <row r="120" customFormat="false" ht="15" hidden="false" customHeight="false" outlineLevel="0" collapsed="false">
      <c r="A120" s="8" t="n">
        <v>11</v>
      </c>
      <c r="B120" s="39" t="n">
        <f aca="false">EDATE(StartDate,A120-1)</f>
        <v>46692</v>
      </c>
      <c r="C120" s="24" t="str">
        <f aca="false">Monthly!$B$11</f>
        <v>EnergyWave, Inc.</v>
      </c>
      <c r="D120" s="24" t="str">
        <f aca="false">Monthly!$C$11</f>
        <v>Payroll</v>
      </c>
      <c r="E120" s="24" t="str">
        <f aca="false">Monthly!$D$11</f>
        <v>Salary &amp; load</v>
      </c>
      <c r="F120" s="24" t="str">
        <f aca="false">Monthly!$A$11</f>
        <v>Applied Physicist 2</v>
      </c>
      <c r="G120" s="20" t="n">
        <f aca="false">Monthly!P$11</f>
        <v>15250</v>
      </c>
      <c r="H120" s="24" t="str">
        <f aca="false">ScenarioName</f>
        <v>Base</v>
      </c>
    </row>
    <row r="121" customFormat="false" ht="15" hidden="false" customHeight="false" outlineLevel="0" collapsed="false">
      <c r="A121" s="8" t="n">
        <v>12</v>
      </c>
      <c r="B121" s="39" t="n">
        <f aca="false">EDATE(StartDate,A121-1)</f>
        <v>46722</v>
      </c>
      <c r="C121" s="24" t="str">
        <f aca="false">Monthly!$B$11</f>
        <v>EnergyWave, Inc.</v>
      </c>
      <c r="D121" s="24" t="str">
        <f aca="false">Monthly!$C$11</f>
        <v>Payroll</v>
      </c>
      <c r="E121" s="24" t="str">
        <f aca="false">Monthly!$D$11</f>
        <v>Salary &amp; load</v>
      </c>
      <c r="F121" s="24" t="str">
        <f aca="false">Monthly!$A$11</f>
        <v>Applied Physicist 2</v>
      </c>
      <c r="G121" s="20" t="n">
        <f aca="false">Monthly!Q$11</f>
        <v>15250</v>
      </c>
      <c r="H121" s="24" t="str">
        <f aca="false">ScenarioName</f>
        <v>Base</v>
      </c>
    </row>
    <row r="122" customFormat="false" ht="15" hidden="false" customHeight="false" outlineLevel="0" collapsed="false">
      <c r="A122" s="8" t="n">
        <v>13</v>
      </c>
      <c r="B122" s="39" t="n">
        <f aca="false">EDATE(StartDate,A122-1)</f>
        <v>46753</v>
      </c>
      <c r="C122" s="24" t="str">
        <f aca="false">Monthly!$B$11</f>
        <v>EnergyWave, Inc.</v>
      </c>
      <c r="D122" s="24" t="str">
        <f aca="false">Monthly!$C$11</f>
        <v>Payroll</v>
      </c>
      <c r="E122" s="24" t="str">
        <f aca="false">Monthly!$D$11</f>
        <v>Salary &amp; load</v>
      </c>
      <c r="F122" s="24" t="str">
        <f aca="false">Monthly!$A$11</f>
        <v>Applied Physicist 2</v>
      </c>
      <c r="G122" s="20" t="n">
        <f aca="false">Monthly!R$11</f>
        <v>15250</v>
      </c>
      <c r="H122" s="24" t="str">
        <f aca="false">ScenarioName</f>
        <v>Base</v>
      </c>
    </row>
    <row r="123" customFormat="false" ht="15" hidden="false" customHeight="false" outlineLevel="0" collapsed="false">
      <c r="A123" s="8" t="n">
        <v>14</v>
      </c>
      <c r="B123" s="39" t="n">
        <f aca="false">EDATE(StartDate,A123-1)</f>
        <v>46784</v>
      </c>
      <c r="C123" s="24" t="str">
        <f aca="false">Monthly!$B$11</f>
        <v>EnergyWave, Inc.</v>
      </c>
      <c r="D123" s="24" t="str">
        <f aca="false">Monthly!$C$11</f>
        <v>Payroll</v>
      </c>
      <c r="E123" s="24" t="str">
        <f aca="false">Monthly!$D$11</f>
        <v>Salary &amp; load</v>
      </c>
      <c r="F123" s="24" t="str">
        <f aca="false">Monthly!$A$11</f>
        <v>Applied Physicist 2</v>
      </c>
      <c r="G123" s="20" t="n">
        <f aca="false">Monthly!S$11</f>
        <v>15250</v>
      </c>
      <c r="H123" s="24" t="str">
        <f aca="false">ScenarioName</f>
        <v>Base</v>
      </c>
    </row>
    <row r="124" customFormat="false" ht="15" hidden="false" customHeight="false" outlineLevel="0" collapsed="false">
      <c r="A124" s="8" t="n">
        <v>15</v>
      </c>
      <c r="B124" s="39" t="n">
        <f aca="false">EDATE(StartDate,A124-1)</f>
        <v>46813</v>
      </c>
      <c r="C124" s="24" t="str">
        <f aca="false">Monthly!$B$11</f>
        <v>EnergyWave, Inc.</v>
      </c>
      <c r="D124" s="24" t="str">
        <f aca="false">Monthly!$C$11</f>
        <v>Payroll</v>
      </c>
      <c r="E124" s="24" t="str">
        <f aca="false">Monthly!$D$11</f>
        <v>Salary &amp; load</v>
      </c>
      <c r="F124" s="24" t="str">
        <f aca="false">Monthly!$A$11</f>
        <v>Applied Physicist 2</v>
      </c>
      <c r="G124" s="20" t="n">
        <f aca="false">Monthly!T$11</f>
        <v>15250</v>
      </c>
      <c r="H124" s="24" t="str">
        <f aca="false">ScenarioName</f>
        <v>Base</v>
      </c>
    </row>
    <row r="125" customFormat="false" ht="15" hidden="false" customHeight="false" outlineLevel="0" collapsed="false">
      <c r="A125" s="8" t="n">
        <v>16</v>
      </c>
      <c r="B125" s="39" t="n">
        <f aca="false">EDATE(StartDate,A125-1)</f>
        <v>46844</v>
      </c>
      <c r="C125" s="24" t="str">
        <f aca="false">Monthly!$B$11</f>
        <v>EnergyWave, Inc.</v>
      </c>
      <c r="D125" s="24" t="str">
        <f aca="false">Monthly!$C$11</f>
        <v>Payroll</v>
      </c>
      <c r="E125" s="24" t="str">
        <f aca="false">Monthly!$D$11</f>
        <v>Salary &amp; load</v>
      </c>
      <c r="F125" s="24" t="str">
        <f aca="false">Monthly!$A$11</f>
        <v>Applied Physicist 2</v>
      </c>
      <c r="G125" s="20" t="n">
        <f aca="false">Monthly!U$11</f>
        <v>15250</v>
      </c>
      <c r="H125" s="24" t="str">
        <f aca="false">ScenarioName</f>
        <v>Base</v>
      </c>
    </row>
    <row r="126" customFormat="false" ht="15" hidden="false" customHeight="false" outlineLevel="0" collapsed="false">
      <c r="A126" s="8" t="n">
        <v>17</v>
      </c>
      <c r="B126" s="39" t="n">
        <f aca="false">EDATE(StartDate,A126-1)</f>
        <v>46874</v>
      </c>
      <c r="C126" s="24" t="str">
        <f aca="false">Monthly!$B$11</f>
        <v>EnergyWave, Inc.</v>
      </c>
      <c r="D126" s="24" t="str">
        <f aca="false">Monthly!$C$11</f>
        <v>Payroll</v>
      </c>
      <c r="E126" s="24" t="str">
        <f aca="false">Monthly!$D$11</f>
        <v>Salary &amp; load</v>
      </c>
      <c r="F126" s="24" t="str">
        <f aca="false">Monthly!$A$11</f>
        <v>Applied Physicist 2</v>
      </c>
      <c r="G126" s="20" t="n">
        <f aca="false">Monthly!V$11</f>
        <v>15250</v>
      </c>
      <c r="H126" s="24" t="str">
        <f aca="false">ScenarioName</f>
        <v>Base</v>
      </c>
    </row>
    <row r="127" customFormat="false" ht="15" hidden="false" customHeight="false" outlineLevel="0" collapsed="false">
      <c r="A127" s="8" t="n">
        <v>18</v>
      </c>
      <c r="B127" s="39" t="n">
        <f aca="false">EDATE(StartDate,A127-1)</f>
        <v>46905</v>
      </c>
      <c r="C127" s="24" t="str">
        <f aca="false">Monthly!$B$11</f>
        <v>EnergyWave, Inc.</v>
      </c>
      <c r="D127" s="24" t="str">
        <f aca="false">Monthly!$C$11</f>
        <v>Payroll</v>
      </c>
      <c r="E127" s="24" t="str">
        <f aca="false">Monthly!$D$11</f>
        <v>Salary &amp; load</v>
      </c>
      <c r="F127" s="24" t="str">
        <f aca="false">Monthly!$A$11</f>
        <v>Applied Physicist 2</v>
      </c>
      <c r="G127" s="20" t="n">
        <f aca="false">Monthly!W$11</f>
        <v>15250</v>
      </c>
      <c r="H127" s="24" t="str">
        <f aca="false">ScenarioName</f>
        <v>Base</v>
      </c>
    </row>
    <row r="128" customFormat="false" ht="15" hidden="false" customHeight="false" outlineLevel="0" collapsed="false">
      <c r="A128" s="8" t="n">
        <v>19</v>
      </c>
      <c r="B128" s="39" t="n">
        <f aca="false">EDATE(StartDate,A128-1)</f>
        <v>46935</v>
      </c>
      <c r="C128" s="24" t="str">
        <f aca="false">Monthly!$B$11</f>
        <v>EnergyWave, Inc.</v>
      </c>
      <c r="D128" s="24" t="str">
        <f aca="false">Monthly!$C$11</f>
        <v>Payroll</v>
      </c>
      <c r="E128" s="24" t="str">
        <f aca="false">Monthly!$D$11</f>
        <v>Salary &amp; load</v>
      </c>
      <c r="F128" s="24" t="str">
        <f aca="false">Monthly!$A$11</f>
        <v>Applied Physicist 2</v>
      </c>
      <c r="G128" s="20" t="n">
        <f aca="false">Monthly!X$11</f>
        <v>15250</v>
      </c>
      <c r="H128" s="24" t="str">
        <f aca="false">ScenarioName</f>
        <v>Base</v>
      </c>
    </row>
    <row r="129" customFormat="false" ht="15" hidden="false" customHeight="false" outlineLevel="0" collapsed="false">
      <c r="A129" s="8" t="n">
        <v>20</v>
      </c>
      <c r="B129" s="39" t="n">
        <f aca="false">EDATE(StartDate,A129-1)</f>
        <v>46966</v>
      </c>
      <c r="C129" s="24" t="str">
        <f aca="false">Monthly!$B$11</f>
        <v>EnergyWave, Inc.</v>
      </c>
      <c r="D129" s="24" t="str">
        <f aca="false">Monthly!$C$11</f>
        <v>Payroll</v>
      </c>
      <c r="E129" s="24" t="str">
        <f aca="false">Monthly!$D$11</f>
        <v>Salary &amp; load</v>
      </c>
      <c r="F129" s="24" t="str">
        <f aca="false">Monthly!$A$11</f>
        <v>Applied Physicist 2</v>
      </c>
      <c r="G129" s="20" t="n">
        <f aca="false">Monthly!Y$11</f>
        <v>15250</v>
      </c>
      <c r="H129" s="24" t="str">
        <f aca="false">ScenarioName</f>
        <v>Base</v>
      </c>
    </row>
    <row r="130" customFormat="false" ht="15" hidden="false" customHeight="false" outlineLevel="0" collapsed="false">
      <c r="A130" s="8" t="n">
        <v>21</v>
      </c>
      <c r="B130" s="39" t="n">
        <f aca="false">EDATE(StartDate,A130-1)</f>
        <v>46997</v>
      </c>
      <c r="C130" s="24" t="str">
        <f aca="false">Monthly!$B$11</f>
        <v>EnergyWave, Inc.</v>
      </c>
      <c r="D130" s="24" t="str">
        <f aca="false">Monthly!$C$11</f>
        <v>Payroll</v>
      </c>
      <c r="E130" s="24" t="str">
        <f aca="false">Monthly!$D$11</f>
        <v>Salary &amp; load</v>
      </c>
      <c r="F130" s="24" t="str">
        <f aca="false">Monthly!$A$11</f>
        <v>Applied Physicist 2</v>
      </c>
      <c r="G130" s="20" t="n">
        <f aca="false">Monthly!Z$11</f>
        <v>15250</v>
      </c>
      <c r="H130" s="24" t="str">
        <f aca="false">ScenarioName</f>
        <v>Base</v>
      </c>
    </row>
    <row r="131" customFormat="false" ht="15" hidden="false" customHeight="false" outlineLevel="0" collapsed="false">
      <c r="A131" s="8" t="n">
        <v>22</v>
      </c>
      <c r="B131" s="39" t="n">
        <f aca="false">EDATE(StartDate,A131-1)</f>
        <v>47027</v>
      </c>
      <c r="C131" s="24" t="str">
        <f aca="false">Monthly!$B$11</f>
        <v>EnergyWave, Inc.</v>
      </c>
      <c r="D131" s="24" t="str">
        <f aca="false">Monthly!$C$11</f>
        <v>Payroll</v>
      </c>
      <c r="E131" s="24" t="str">
        <f aca="false">Monthly!$D$11</f>
        <v>Salary &amp; load</v>
      </c>
      <c r="F131" s="24" t="str">
        <f aca="false">Monthly!$A$11</f>
        <v>Applied Physicist 2</v>
      </c>
      <c r="G131" s="20" t="n">
        <f aca="false">Monthly!AA$11</f>
        <v>15250</v>
      </c>
      <c r="H131" s="24" t="str">
        <f aca="false">ScenarioName</f>
        <v>Base</v>
      </c>
    </row>
    <row r="132" customFormat="false" ht="15" hidden="false" customHeight="false" outlineLevel="0" collapsed="false">
      <c r="A132" s="8" t="n">
        <v>23</v>
      </c>
      <c r="B132" s="39" t="n">
        <f aca="false">EDATE(StartDate,A132-1)</f>
        <v>47058</v>
      </c>
      <c r="C132" s="24" t="str">
        <f aca="false">Monthly!$B$11</f>
        <v>EnergyWave, Inc.</v>
      </c>
      <c r="D132" s="24" t="str">
        <f aca="false">Monthly!$C$11</f>
        <v>Payroll</v>
      </c>
      <c r="E132" s="24" t="str">
        <f aca="false">Monthly!$D$11</f>
        <v>Salary &amp; load</v>
      </c>
      <c r="F132" s="24" t="str">
        <f aca="false">Monthly!$A$11</f>
        <v>Applied Physicist 2</v>
      </c>
      <c r="G132" s="20" t="n">
        <f aca="false">Monthly!AB$11</f>
        <v>15250</v>
      </c>
      <c r="H132" s="24" t="str">
        <f aca="false">ScenarioName</f>
        <v>Base</v>
      </c>
    </row>
    <row r="133" customFormat="false" ht="15" hidden="false" customHeight="false" outlineLevel="0" collapsed="false">
      <c r="A133" s="8" t="n">
        <v>24</v>
      </c>
      <c r="B133" s="39" t="n">
        <f aca="false">EDATE(StartDate,A133-1)</f>
        <v>47088</v>
      </c>
      <c r="C133" s="24" t="str">
        <f aca="false">Monthly!$B$11</f>
        <v>EnergyWave, Inc.</v>
      </c>
      <c r="D133" s="24" t="str">
        <f aca="false">Monthly!$C$11</f>
        <v>Payroll</v>
      </c>
      <c r="E133" s="24" t="str">
        <f aca="false">Monthly!$D$11</f>
        <v>Salary &amp; load</v>
      </c>
      <c r="F133" s="24" t="str">
        <f aca="false">Monthly!$A$11</f>
        <v>Applied Physicist 2</v>
      </c>
      <c r="G133" s="20" t="n">
        <f aca="false">Monthly!AC$11</f>
        <v>15250</v>
      </c>
      <c r="H133" s="24" t="str">
        <f aca="false">ScenarioName</f>
        <v>Base</v>
      </c>
    </row>
    <row r="134" customFormat="false" ht="15" hidden="false" customHeight="false" outlineLevel="0" collapsed="false">
      <c r="A134" s="8" t="n">
        <v>25</v>
      </c>
      <c r="B134" s="39" t="n">
        <f aca="false">EDATE(StartDate,A134-1)</f>
        <v>47119</v>
      </c>
      <c r="C134" s="24" t="str">
        <f aca="false">Monthly!$B$11</f>
        <v>EnergyWave, Inc.</v>
      </c>
      <c r="D134" s="24" t="str">
        <f aca="false">Monthly!$C$11</f>
        <v>Payroll</v>
      </c>
      <c r="E134" s="24" t="str">
        <f aca="false">Monthly!$D$11</f>
        <v>Salary &amp; load</v>
      </c>
      <c r="F134" s="24" t="str">
        <f aca="false">Monthly!$A$11</f>
        <v>Applied Physicist 2</v>
      </c>
      <c r="G134" s="20" t="n">
        <f aca="false">Monthly!AD$11</f>
        <v>15250</v>
      </c>
      <c r="H134" s="24" t="str">
        <f aca="false">ScenarioName</f>
        <v>Base</v>
      </c>
    </row>
    <row r="135" customFormat="false" ht="15" hidden="false" customHeight="false" outlineLevel="0" collapsed="false">
      <c r="A135" s="8" t="n">
        <v>26</v>
      </c>
      <c r="B135" s="39" t="n">
        <f aca="false">EDATE(StartDate,A135-1)</f>
        <v>47150</v>
      </c>
      <c r="C135" s="24" t="str">
        <f aca="false">Monthly!$B$11</f>
        <v>EnergyWave, Inc.</v>
      </c>
      <c r="D135" s="24" t="str">
        <f aca="false">Monthly!$C$11</f>
        <v>Payroll</v>
      </c>
      <c r="E135" s="24" t="str">
        <f aca="false">Monthly!$D$11</f>
        <v>Salary &amp; load</v>
      </c>
      <c r="F135" s="24" t="str">
        <f aca="false">Monthly!$A$11</f>
        <v>Applied Physicist 2</v>
      </c>
      <c r="G135" s="20" t="n">
        <f aca="false">Monthly!AE$11</f>
        <v>15250</v>
      </c>
      <c r="H135" s="24" t="str">
        <f aca="false">ScenarioName</f>
        <v>Base</v>
      </c>
    </row>
    <row r="136" customFormat="false" ht="15" hidden="false" customHeight="false" outlineLevel="0" collapsed="false">
      <c r="A136" s="8" t="n">
        <v>27</v>
      </c>
      <c r="B136" s="39" t="n">
        <f aca="false">EDATE(StartDate,A136-1)</f>
        <v>47178</v>
      </c>
      <c r="C136" s="24" t="str">
        <f aca="false">Monthly!$B$11</f>
        <v>EnergyWave, Inc.</v>
      </c>
      <c r="D136" s="24" t="str">
        <f aca="false">Monthly!$C$11</f>
        <v>Payroll</v>
      </c>
      <c r="E136" s="24" t="str">
        <f aca="false">Monthly!$D$11</f>
        <v>Salary &amp; load</v>
      </c>
      <c r="F136" s="24" t="str">
        <f aca="false">Monthly!$A$11</f>
        <v>Applied Physicist 2</v>
      </c>
      <c r="G136" s="20" t="n">
        <f aca="false">Monthly!AF$11</f>
        <v>15250</v>
      </c>
      <c r="H136" s="24" t="str">
        <f aca="false">ScenarioName</f>
        <v>Base</v>
      </c>
    </row>
    <row r="137" customFormat="false" ht="15" hidden="false" customHeight="false" outlineLevel="0" collapsed="false">
      <c r="A137" s="8" t="n">
        <v>28</v>
      </c>
      <c r="B137" s="39" t="n">
        <f aca="false">EDATE(StartDate,A137-1)</f>
        <v>47209</v>
      </c>
      <c r="C137" s="24" t="str">
        <f aca="false">Monthly!$B$11</f>
        <v>EnergyWave, Inc.</v>
      </c>
      <c r="D137" s="24" t="str">
        <f aca="false">Monthly!$C$11</f>
        <v>Payroll</v>
      </c>
      <c r="E137" s="24" t="str">
        <f aca="false">Monthly!$D$11</f>
        <v>Salary &amp; load</v>
      </c>
      <c r="F137" s="24" t="str">
        <f aca="false">Monthly!$A$11</f>
        <v>Applied Physicist 2</v>
      </c>
      <c r="G137" s="20" t="n">
        <f aca="false">Monthly!AG$11</f>
        <v>15250</v>
      </c>
      <c r="H137" s="24" t="str">
        <f aca="false">ScenarioName</f>
        <v>Base</v>
      </c>
    </row>
    <row r="138" customFormat="false" ht="15" hidden="false" customHeight="false" outlineLevel="0" collapsed="false">
      <c r="A138" s="8" t="n">
        <v>29</v>
      </c>
      <c r="B138" s="39" t="n">
        <f aca="false">EDATE(StartDate,A138-1)</f>
        <v>47239</v>
      </c>
      <c r="C138" s="24" t="str">
        <f aca="false">Monthly!$B$11</f>
        <v>EnergyWave, Inc.</v>
      </c>
      <c r="D138" s="24" t="str">
        <f aca="false">Monthly!$C$11</f>
        <v>Payroll</v>
      </c>
      <c r="E138" s="24" t="str">
        <f aca="false">Monthly!$D$11</f>
        <v>Salary &amp; load</v>
      </c>
      <c r="F138" s="24" t="str">
        <f aca="false">Monthly!$A$11</f>
        <v>Applied Physicist 2</v>
      </c>
      <c r="G138" s="20" t="n">
        <f aca="false">Monthly!AH$11</f>
        <v>15250</v>
      </c>
      <c r="H138" s="24" t="str">
        <f aca="false">ScenarioName</f>
        <v>Base</v>
      </c>
    </row>
    <row r="139" customFormat="false" ht="15" hidden="false" customHeight="false" outlineLevel="0" collapsed="false">
      <c r="A139" s="8" t="n">
        <v>30</v>
      </c>
      <c r="B139" s="39" t="n">
        <f aca="false">EDATE(StartDate,A139-1)</f>
        <v>47270</v>
      </c>
      <c r="C139" s="24" t="str">
        <f aca="false">Monthly!$B$11</f>
        <v>EnergyWave, Inc.</v>
      </c>
      <c r="D139" s="24" t="str">
        <f aca="false">Monthly!$C$11</f>
        <v>Payroll</v>
      </c>
      <c r="E139" s="24" t="str">
        <f aca="false">Monthly!$D$11</f>
        <v>Salary &amp; load</v>
      </c>
      <c r="F139" s="24" t="str">
        <f aca="false">Monthly!$A$11</f>
        <v>Applied Physicist 2</v>
      </c>
      <c r="G139" s="20" t="n">
        <f aca="false">Monthly!AI$11</f>
        <v>15250</v>
      </c>
      <c r="H139" s="24" t="str">
        <f aca="false">ScenarioName</f>
        <v>Base</v>
      </c>
    </row>
    <row r="140" customFormat="false" ht="15" hidden="false" customHeight="false" outlineLevel="0" collapsed="false">
      <c r="A140" s="8" t="n">
        <v>31</v>
      </c>
      <c r="B140" s="39" t="n">
        <f aca="false">EDATE(StartDate,A140-1)</f>
        <v>47300</v>
      </c>
      <c r="C140" s="24" t="str">
        <f aca="false">Monthly!$B$11</f>
        <v>EnergyWave, Inc.</v>
      </c>
      <c r="D140" s="24" t="str">
        <f aca="false">Monthly!$C$11</f>
        <v>Payroll</v>
      </c>
      <c r="E140" s="24" t="str">
        <f aca="false">Monthly!$D$11</f>
        <v>Salary &amp; load</v>
      </c>
      <c r="F140" s="24" t="str">
        <f aca="false">Monthly!$A$11</f>
        <v>Applied Physicist 2</v>
      </c>
      <c r="G140" s="20" t="n">
        <f aca="false">Monthly!AJ$11</f>
        <v>15250</v>
      </c>
      <c r="H140" s="24" t="str">
        <f aca="false">ScenarioName</f>
        <v>Base</v>
      </c>
    </row>
    <row r="141" customFormat="false" ht="15" hidden="false" customHeight="false" outlineLevel="0" collapsed="false">
      <c r="A141" s="8" t="n">
        <v>32</v>
      </c>
      <c r="B141" s="39" t="n">
        <f aca="false">EDATE(StartDate,A141-1)</f>
        <v>47331</v>
      </c>
      <c r="C141" s="24" t="str">
        <f aca="false">Monthly!$B$11</f>
        <v>EnergyWave, Inc.</v>
      </c>
      <c r="D141" s="24" t="str">
        <f aca="false">Monthly!$C$11</f>
        <v>Payroll</v>
      </c>
      <c r="E141" s="24" t="str">
        <f aca="false">Monthly!$D$11</f>
        <v>Salary &amp; load</v>
      </c>
      <c r="F141" s="24" t="str">
        <f aca="false">Monthly!$A$11</f>
        <v>Applied Physicist 2</v>
      </c>
      <c r="G141" s="20" t="n">
        <f aca="false">Monthly!AK$11</f>
        <v>15250</v>
      </c>
      <c r="H141" s="24" t="str">
        <f aca="false">ScenarioName</f>
        <v>Base</v>
      </c>
    </row>
    <row r="142" customFormat="false" ht="15" hidden="false" customHeight="false" outlineLevel="0" collapsed="false">
      <c r="A142" s="8" t="n">
        <v>33</v>
      </c>
      <c r="B142" s="39" t="n">
        <f aca="false">EDATE(StartDate,A142-1)</f>
        <v>47362</v>
      </c>
      <c r="C142" s="24" t="str">
        <f aca="false">Monthly!$B$11</f>
        <v>EnergyWave, Inc.</v>
      </c>
      <c r="D142" s="24" t="str">
        <f aca="false">Monthly!$C$11</f>
        <v>Payroll</v>
      </c>
      <c r="E142" s="24" t="str">
        <f aca="false">Monthly!$D$11</f>
        <v>Salary &amp; load</v>
      </c>
      <c r="F142" s="24" t="str">
        <f aca="false">Monthly!$A$11</f>
        <v>Applied Physicist 2</v>
      </c>
      <c r="G142" s="20" t="n">
        <f aca="false">Monthly!AL$11</f>
        <v>15250</v>
      </c>
      <c r="H142" s="24" t="str">
        <f aca="false">ScenarioName</f>
        <v>Base</v>
      </c>
    </row>
    <row r="143" customFormat="false" ht="15" hidden="false" customHeight="false" outlineLevel="0" collapsed="false">
      <c r="A143" s="8" t="n">
        <v>34</v>
      </c>
      <c r="B143" s="39" t="n">
        <f aca="false">EDATE(StartDate,A143-1)</f>
        <v>47392</v>
      </c>
      <c r="C143" s="24" t="str">
        <f aca="false">Monthly!$B$11</f>
        <v>EnergyWave, Inc.</v>
      </c>
      <c r="D143" s="24" t="str">
        <f aca="false">Monthly!$C$11</f>
        <v>Payroll</v>
      </c>
      <c r="E143" s="24" t="str">
        <f aca="false">Monthly!$D$11</f>
        <v>Salary &amp; load</v>
      </c>
      <c r="F143" s="24" t="str">
        <f aca="false">Monthly!$A$11</f>
        <v>Applied Physicist 2</v>
      </c>
      <c r="G143" s="20" t="n">
        <f aca="false">Monthly!AM$11</f>
        <v>15250</v>
      </c>
      <c r="H143" s="24" t="str">
        <f aca="false">ScenarioName</f>
        <v>Base</v>
      </c>
    </row>
    <row r="144" customFormat="false" ht="15" hidden="false" customHeight="false" outlineLevel="0" collapsed="false">
      <c r="A144" s="8" t="n">
        <v>35</v>
      </c>
      <c r="B144" s="39" t="n">
        <f aca="false">EDATE(StartDate,A144-1)</f>
        <v>47423</v>
      </c>
      <c r="C144" s="24" t="str">
        <f aca="false">Monthly!$B$11</f>
        <v>EnergyWave, Inc.</v>
      </c>
      <c r="D144" s="24" t="str">
        <f aca="false">Monthly!$C$11</f>
        <v>Payroll</v>
      </c>
      <c r="E144" s="24" t="str">
        <f aca="false">Monthly!$D$11</f>
        <v>Salary &amp; load</v>
      </c>
      <c r="F144" s="24" t="str">
        <f aca="false">Monthly!$A$11</f>
        <v>Applied Physicist 2</v>
      </c>
      <c r="G144" s="20" t="n">
        <f aca="false">Monthly!AN$11</f>
        <v>15250</v>
      </c>
      <c r="H144" s="24" t="str">
        <f aca="false">ScenarioName</f>
        <v>Base</v>
      </c>
    </row>
    <row r="145" customFormat="false" ht="15" hidden="false" customHeight="false" outlineLevel="0" collapsed="false">
      <c r="A145" s="8" t="n">
        <v>36</v>
      </c>
      <c r="B145" s="39" t="n">
        <f aca="false">EDATE(StartDate,A145-1)</f>
        <v>47453</v>
      </c>
      <c r="C145" s="24" t="str">
        <f aca="false">Monthly!$B$11</f>
        <v>EnergyWave, Inc.</v>
      </c>
      <c r="D145" s="24" t="str">
        <f aca="false">Monthly!$C$11</f>
        <v>Payroll</v>
      </c>
      <c r="E145" s="24" t="str">
        <f aca="false">Monthly!$D$11</f>
        <v>Salary &amp; load</v>
      </c>
      <c r="F145" s="24" t="str">
        <f aca="false">Monthly!$A$11</f>
        <v>Applied Physicist 2</v>
      </c>
      <c r="G145" s="20" t="n">
        <f aca="false">Monthly!AO$11</f>
        <v>15250</v>
      </c>
      <c r="H145" s="24" t="str">
        <f aca="false">ScenarioName</f>
        <v>Base</v>
      </c>
    </row>
    <row r="146" customFormat="false" ht="15" hidden="false" customHeight="false" outlineLevel="0" collapsed="false">
      <c r="A146" s="8" t="n">
        <v>1</v>
      </c>
      <c r="B146" s="39" t="n">
        <f aca="false">EDATE(StartDate,A146-1)</f>
        <v>46388</v>
      </c>
      <c r="C146" s="24" t="str">
        <f aca="false">Monthly!$B$12</f>
        <v>EnergyWave, Inc.</v>
      </c>
      <c r="D146" s="24" t="str">
        <f aca="false">Monthly!$C$12</f>
        <v>Payroll</v>
      </c>
      <c r="E146" s="24" t="str">
        <f aca="false">Monthly!$D$12</f>
        <v>Salary &amp; load</v>
      </c>
      <c r="F146" s="24" t="str">
        <f aca="false">Monthly!$A$12</f>
        <v>Applied Physicist 3</v>
      </c>
      <c r="G146" s="20" t="n">
        <f aca="false">Monthly!F$12</f>
        <v>0</v>
      </c>
      <c r="H146" s="24" t="str">
        <f aca="false">ScenarioName</f>
        <v>Base</v>
      </c>
    </row>
    <row r="147" customFormat="false" ht="15" hidden="false" customHeight="false" outlineLevel="0" collapsed="false">
      <c r="A147" s="8" t="n">
        <v>2</v>
      </c>
      <c r="B147" s="39" t="n">
        <f aca="false">EDATE(StartDate,A147-1)</f>
        <v>46419</v>
      </c>
      <c r="C147" s="24" t="str">
        <f aca="false">Monthly!$B$12</f>
        <v>EnergyWave, Inc.</v>
      </c>
      <c r="D147" s="24" t="str">
        <f aca="false">Monthly!$C$12</f>
        <v>Payroll</v>
      </c>
      <c r="E147" s="24" t="str">
        <f aca="false">Monthly!$D$12</f>
        <v>Salary &amp; load</v>
      </c>
      <c r="F147" s="24" t="str">
        <f aca="false">Monthly!$A$12</f>
        <v>Applied Physicist 3</v>
      </c>
      <c r="G147" s="20" t="n">
        <f aca="false">Monthly!G$12</f>
        <v>0</v>
      </c>
      <c r="H147" s="24" t="str">
        <f aca="false">ScenarioName</f>
        <v>Base</v>
      </c>
    </row>
    <row r="148" customFormat="false" ht="15" hidden="false" customHeight="false" outlineLevel="0" collapsed="false">
      <c r="A148" s="8" t="n">
        <v>3</v>
      </c>
      <c r="B148" s="39" t="n">
        <f aca="false">EDATE(StartDate,A148-1)</f>
        <v>46447</v>
      </c>
      <c r="C148" s="24" t="str">
        <f aca="false">Monthly!$B$12</f>
        <v>EnergyWave, Inc.</v>
      </c>
      <c r="D148" s="24" t="str">
        <f aca="false">Monthly!$C$12</f>
        <v>Payroll</v>
      </c>
      <c r="E148" s="24" t="str">
        <f aca="false">Monthly!$D$12</f>
        <v>Salary &amp; load</v>
      </c>
      <c r="F148" s="24" t="str">
        <f aca="false">Monthly!$A$12</f>
        <v>Applied Physicist 3</v>
      </c>
      <c r="G148" s="20" t="n">
        <f aca="false">Monthly!H$12</f>
        <v>15250</v>
      </c>
      <c r="H148" s="24" t="str">
        <f aca="false">ScenarioName</f>
        <v>Base</v>
      </c>
    </row>
    <row r="149" customFormat="false" ht="15" hidden="false" customHeight="false" outlineLevel="0" collapsed="false">
      <c r="A149" s="8" t="n">
        <v>4</v>
      </c>
      <c r="B149" s="39" t="n">
        <f aca="false">EDATE(StartDate,A149-1)</f>
        <v>46478</v>
      </c>
      <c r="C149" s="24" t="str">
        <f aca="false">Monthly!$B$12</f>
        <v>EnergyWave, Inc.</v>
      </c>
      <c r="D149" s="24" t="str">
        <f aca="false">Monthly!$C$12</f>
        <v>Payroll</v>
      </c>
      <c r="E149" s="24" t="str">
        <f aca="false">Monthly!$D$12</f>
        <v>Salary &amp; load</v>
      </c>
      <c r="F149" s="24" t="str">
        <f aca="false">Monthly!$A$12</f>
        <v>Applied Physicist 3</v>
      </c>
      <c r="G149" s="20" t="n">
        <f aca="false">Monthly!I$12</f>
        <v>15250</v>
      </c>
      <c r="H149" s="24" t="str">
        <f aca="false">ScenarioName</f>
        <v>Base</v>
      </c>
    </row>
    <row r="150" customFormat="false" ht="15" hidden="false" customHeight="false" outlineLevel="0" collapsed="false">
      <c r="A150" s="8" t="n">
        <v>5</v>
      </c>
      <c r="B150" s="39" t="n">
        <f aca="false">EDATE(StartDate,A150-1)</f>
        <v>46508</v>
      </c>
      <c r="C150" s="24" t="str">
        <f aca="false">Monthly!$B$12</f>
        <v>EnergyWave, Inc.</v>
      </c>
      <c r="D150" s="24" t="str">
        <f aca="false">Monthly!$C$12</f>
        <v>Payroll</v>
      </c>
      <c r="E150" s="24" t="str">
        <f aca="false">Monthly!$D$12</f>
        <v>Salary &amp; load</v>
      </c>
      <c r="F150" s="24" t="str">
        <f aca="false">Monthly!$A$12</f>
        <v>Applied Physicist 3</v>
      </c>
      <c r="G150" s="20" t="n">
        <f aca="false">Monthly!J$12</f>
        <v>15250</v>
      </c>
      <c r="H150" s="24" t="str">
        <f aca="false">ScenarioName</f>
        <v>Base</v>
      </c>
    </row>
    <row r="151" customFormat="false" ht="15" hidden="false" customHeight="false" outlineLevel="0" collapsed="false">
      <c r="A151" s="8" t="n">
        <v>6</v>
      </c>
      <c r="B151" s="39" t="n">
        <f aca="false">EDATE(StartDate,A151-1)</f>
        <v>46539</v>
      </c>
      <c r="C151" s="24" t="str">
        <f aca="false">Monthly!$B$12</f>
        <v>EnergyWave, Inc.</v>
      </c>
      <c r="D151" s="24" t="str">
        <f aca="false">Monthly!$C$12</f>
        <v>Payroll</v>
      </c>
      <c r="E151" s="24" t="str">
        <f aca="false">Monthly!$D$12</f>
        <v>Salary &amp; load</v>
      </c>
      <c r="F151" s="24" t="str">
        <f aca="false">Monthly!$A$12</f>
        <v>Applied Physicist 3</v>
      </c>
      <c r="G151" s="20" t="n">
        <f aca="false">Monthly!K$12</f>
        <v>15250</v>
      </c>
      <c r="H151" s="24" t="str">
        <f aca="false">ScenarioName</f>
        <v>Base</v>
      </c>
    </row>
    <row r="152" customFormat="false" ht="15" hidden="false" customHeight="false" outlineLevel="0" collapsed="false">
      <c r="A152" s="8" t="n">
        <v>7</v>
      </c>
      <c r="B152" s="39" t="n">
        <f aca="false">EDATE(StartDate,A152-1)</f>
        <v>46569</v>
      </c>
      <c r="C152" s="24" t="str">
        <f aca="false">Monthly!$B$12</f>
        <v>EnergyWave, Inc.</v>
      </c>
      <c r="D152" s="24" t="str">
        <f aca="false">Monthly!$C$12</f>
        <v>Payroll</v>
      </c>
      <c r="E152" s="24" t="str">
        <f aca="false">Monthly!$D$12</f>
        <v>Salary &amp; load</v>
      </c>
      <c r="F152" s="24" t="str">
        <f aca="false">Monthly!$A$12</f>
        <v>Applied Physicist 3</v>
      </c>
      <c r="G152" s="20" t="n">
        <f aca="false">Monthly!L$12</f>
        <v>15250</v>
      </c>
      <c r="H152" s="24" t="str">
        <f aca="false">ScenarioName</f>
        <v>Base</v>
      </c>
    </row>
    <row r="153" customFormat="false" ht="15" hidden="false" customHeight="false" outlineLevel="0" collapsed="false">
      <c r="A153" s="8" t="n">
        <v>8</v>
      </c>
      <c r="B153" s="39" t="n">
        <f aca="false">EDATE(StartDate,A153-1)</f>
        <v>46600</v>
      </c>
      <c r="C153" s="24" t="str">
        <f aca="false">Monthly!$B$12</f>
        <v>EnergyWave, Inc.</v>
      </c>
      <c r="D153" s="24" t="str">
        <f aca="false">Monthly!$C$12</f>
        <v>Payroll</v>
      </c>
      <c r="E153" s="24" t="str">
        <f aca="false">Monthly!$D$12</f>
        <v>Salary &amp; load</v>
      </c>
      <c r="F153" s="24" t="str">
        <f aca="false">Monthly!$A$12</f>
        <v>Applied Physicist 3</v>
      </c>
      <c r="G153" s="20" t="n">
        <f aca="false">Monthly!M$12</f>
        <v>15250</v>
      </c>
      <c r="H153" s="24" t="str">
        <f aca="false">ScenarioName</f>
        <v>Base</v>
      </c>
    </row>
    <row r="154" customFormat="false" ht="15" hidden="false" customHeight="false" outlineLevel="0" collapsed="false">
      <c r="A154" s="8" t="n">
        <v>9</v>
      </c>
      <c r="B154" s="39" t="n">
        <f aca="false">EDATE(StartDate,A154-1)</f>
        <v>46631</v>
      </c>
      <c r="C154" s="24" t="str">
        <f aca="false">Monthly!$B$12</f>
        <v>EnergyWave, Inc.</v>
      </c>
      <c r="D154" s="24" t="str">
        <f aca="false">Monthly!$C$12</f>
        <v>Payroll</v>
      </c>
      <c r="E154" s="24" t="str">
        <f aca="false">Monthly!$D$12</f>
        <v>Salary &amp; load</v>
      </c>
      <c r="F154" s="24" t="str">
        <f aca="false">Monthly!$A$12</f>
        <v>Applied Physicist 3</v>
      </c>
      <c r="G154" s="20" t="n">
        <f aca="false">Monthly!N$12</f>
        <v>15250</v>
      </c>
      <c r="H154" s="24" t="str">
        <f aca="false">ScenarioName</f>
        <v>Base</v>
      </c>
    </row>
    <row r="155" customFormat="false" ht="15" hidden="false" customHeight="false" outlineLevel="0" collapsed="false">
      <c r="A155" s="8" t="n">
        <v>10</v>
      </c>
      <c r="B155" s="39" t="n">
        <f aca="false">EDATE(StartDate,A155-1)</f>
        <v>46661</v>
      </c>
      <c r="C155" s="24" t="str">
        <f aca="false">Monthly!$B$12</f>
        <v>EnergyWave, Inc.</v>
      </c>
      <c r="D155" s="24" t="str">
        <f aca="false">Monthly!$C$12</f>
        <v>Payroll</v>
      </c>
      <c r="E155" s="24" t="str">
        <f aca="false">Monthly!$D$12</f>
        <v>Salary &amp; load</v>
      </c>
      <c r="F155" s="24" t="str">
        <f aca="false">Monthly!$A$12</f>
        <v>Applied Physicist 3</v>
      </c>
      <c r="G155" s="20" t="n">
        <f aca="false">Monthly!O$12</f>
        <v>15250</v>
      </c>
      <c r="H155" s="24" t="str">
        <f aca="false">ScenarioName</f>
        <v>Base</v>
      </c>
    </row>
    <row r="156" customFormat="false" ht="15" hidden="false" customHeight="false" outlineLevel="0" collapsed="false">
      <c r="A156" s="8" t="n">
        <v>11</v>
      </c>
      <c r="B156" s="39" t="n">
        <f aca="false">EDATE(StartDate,A156-1)</f>
        <v>46692</v>
      </c>
      <c r="C156" s="24" t="str">
        <f aca="false">Monthly!$B$12</f>
        <v>EnergyWave, Inc.</v>
      </c>
      <c r="D156" s="24" t="str">
        <f aca="false">Monthly!$C$12</f>
        <v>Payroll</v>
      </c>
      <c r="E156" s="24" t="str">
        <f aca="false">Monthly!$D$12</f>
        <v>Salary &amp; load</v>
      </c>
      <c r="F156" s="24" t="str">
        <f aca="false">Monthly!$A$12</f>
        <v>Applied Physicist 3</v>
      </c>
      <c r="G156" s="20" t="n">
        <f aca="false">Monthly!P$12</f>
        <v>15250</v>
      </c>
      <c r="H156" s="24" t="str">
        <f aca="false">ScenarioName</f>
        <v>Base</v>
      </c>
    </row>
    <row r="157" customFormat="false" ht="15" hidden="false" customHeight="false" outlineLevel="0" collapsed="false">
      <c r="A157" s="8" t="n">
        <v>12</v>
      </c>
      <c r="B157" s="39" t="n">
        <f aca="false">EDATE(StartDate,A157-1)</f>
        <v>46722</v>
      </c>
      <c r="C157" s="24" t="str">
        <f aca="false">Monthly!$B$12</f>
        <v>EnergyWave, Inc.</v>
      </c>
      <c r="D157" s="24" t="str">
        <f aca="false">Monthly!$C$12</f>
        <v>Payroll</v>
      </c>
      <c r="E157" s="24" t="str">
        <f aca="false">Monthly!$D$12</f>
        <v>Salary &amp; load</v>
      </c>
      <c r="F157" s="24" t="str">
        <f aca="false">Monthly!$A$12</f>
        <v>Applied Physicist 3</v>
      </c>
      <c r="G157" s="20" t="n">
        <f aca="false">Monthly!Q$12</f>
        <v>15250</v>
      </c>
      <c r="H157" s="24" t="str">
        <f aca="false">ScenarioName</f>
        <v>Base</v>
      </c>
    </row>
    <row r="158" customFormat="false" ht="15" hidden="false" customHeight="false" outlineLevel="0" collapsed="false">
      <c r="A158" s="8" t="n">
        <v>13</v>
      </c>
      <c r="B158" s="39" t="n">
        <f aca="false">EDATE(StartDate,A158-1)</f>
        <v>46753</v>
      </c>
      <c r="C158" s="24" t="str">
        <f aca="false">Monthly!$B$12</f>
        <v>EnergyWave, Inc.</v>
      </c>
      <c r="D158" s="24" t="str">
        <f aca="false">Monthly!$C$12</f>
        <v>Payroll</v>
      </c>
      <c r="E158" s="24" t="str">
        <f aca="false">Monthly!$D$12</f>
        <v>Salary &amp; load</v>
      </c>
      <c r="F158" s="24" t="str">
        <f aca="false">Monthly!$A$12</f>
        <v>Applied Physicist 3</v>
      </c>
      <c r="G158" s="20" t="n">
        <f aca="false">Monthly!R$12</f>
        <v>15250</v>
      </c>
      <c r="H158" s="24" t="str">
        <f aca="false">ScenarioName</f>
        <v>Base</v>
      </c>
    </row>
    <row r="159" customFormat="false" ht="15" hidden="false" customHeight="false" outlineLevel="0" collapsed="false">
      <c r="A159" s="8" t="n">
        <v>14</v>
      </c>
      <c r="B159" s="39" t="n">
        <f aca="false">EDATE(StartDate,A159-1)</f>
        <v>46784</v>
      </c>
      <c r="C159" s="24" t="str">
        <f aca="false">Monthly!$B$12</f>
        <v>EnergyWave, Inc.</v>
      </c>
      <c r="D159" s="24" t="str">
        <f aca="false">Monthly!$C$12</f>
        <v>Payroll</v>
      </c>
      <c r="E159" s="24" t="str">
        <f aca="false">Monthly!$D$12</f>
        <v>Salary &amp; load</v>
      </c>
      <c r="F159" s="24" t="str">
        <f aca="false">Monthly!$A$12</f>
        <v>Applied Physicist 3</v>
      </c>
      <c r="G159" s="20" t="n">
        <f aca="false">Monthly!S$12</f>
        <v>15250</v>
      </c>
      <c r="H159" s="24" t="str">
        <f aca="false">ScenarioName</f>
        <v>Base</v>
      </c>
    </row>
    <row r="160" customFormat="false" ht="15" hidden="false" customHeight="false" outlineLevel="0" collapsed="false">
      <c r="A160" s="8" t="n">
        <v>15</v>
      </c>
      <c r="B160" s="39" t="n">
        <f aca="false">EDATE(StartDate,A160-1)</f>
        <v>46813</v>
      </c>
      <c r="C160" s="24" t="str">
        <f aca="false">Monthly!$B$12</f>
        <v>EnergyWave, Inc.</v>
      </c>
      <c r="D160" s="24" t="str">
        <f aca="false">Monthly!$C$12</f>
        <v>Payroll</v>
      </c>
      <c r="E160" s="24" t="str">
        <f aca="false">Monthly!$D$12</f>
        <v>Salary &amp; load</v>
      </c>
      <c r="F160" s="24" t="str">
        <f aca="false">Monthly!$A$12</f>
        <v>Applied Physicist 3</v>
      </c>
      <c r="G160" s="20" t="n">
        <f aca="false">Monthly!T$12</f>
        <v>15250</v>
      </c>
      <c r="H160" s="24" t="str">
        <f aca="false">ScenarioName</f>
        <v>Base</v>
      </c>
    </row>
    <row r="161" customFormat="false" ht="15" hidden="false" customHeight="false" outlineLevel="0" collapsed="false">
      <c r="A161" s="8" t="n">
        <v>16</v>
      </c>
      <c r="B161" s="39" t="n">
        <f aca="false">EDATE(StartDate,A161-1)</f>
        <v>46844</v>
      </c>
      <c r="C161" s="24" t="str">
        <f aca="false">Monthly!$B$12</f>
        <v>EnergyWave, Inc.</v>
      </c>
      <c r="D161" s="24" t="str">
        <f aca="false">Monthly!$C$12</f>
        <v>Payroll</v>
      </c>
      <c r="E161" s="24" t="str">
        <f aca="false">Monthly!$D$12</f>
        <v>Salary &amp; load</v>
      </c>
      <c r="F161" s="24" t="str">
        <f aca="false">Monthly!$A$12</f>
        <v>Applied Physicist 3</v>
      </c>
      <c r="G161" s="20" t="n">
        <f aca="false">Monthly!U$12</f>
        <v>15250</v>
      </c>
      <c r="H161" s="24" t="str">
        <f aca="false">ScenarioName</f>
        <v>Base</v>
      </c>
    </row>
    <row r="162" customFormat="false" ht="15" hidden="false" customHeight="false" outlineLevel="0" collapsed="false">
      <c r="A162" s="8" t="n">
        <v>17</v>
      </c>
      <c r="B162" s="39" t="n">
        <f aca="false">EDATE(StartDate,A162-1)</f>
        <v>46874</v>
      </c>
      <c r="C162" s="24" t="str">
        <f aca="false">Monthly!$B$12</f>
        <v>EnergyWave, Inc.</v>
      </c>
      <c r="D162" s="24" t="str">
        <f aca="false">Monthly!$C$12</f>
        <v>Payroll</v>
      </c>
      <c r="E162" s="24" t="str">
        <f aca="false">Monthly!$D$12</f>
        <v>Salary &amp; load</v>
      </c>
      <c r="F162" s="24" t="str">
        <f aca="false">Monthly!$A$12</f>
        <v>Applied Physicist 3</v>
      </c>
      <c r="G162" s="20" t="n">
        <f aca="false">Monthly!V$12</f>
        <v>15250</v>
      </c>
      <c r="H162" s="24" t="str">
        <f aca="false">ScenarioName</f>
        <v>Base</v>
      </c>
    </row>
    <row r="163" customFormat="false" ht="15" hidden="false" customHeight="false" outlineLevel="0" collapsed="false">
      <c r="A163" s="8" t="n">
        <v>18</v>
      </c>
      <c r="B163" s="39" t="n">
        <f aca="false">EDATE(StartDate,A163-1)</f>
        <v>46905</v>
      </c>
      <c r="C163" s="24" t="str">
        <f aca="false">Monthly!$B$12</f>
        <v>EnergyWave, Inc.</v>
      </c>
      <c r="D163" s="24" t="str">
        <f aca="false">Monthly!$C$12</f>
        <v>Payroll</v>
      </c>
      <c r="E163" s="24" t="str">
        <f aca="false">Monthly!$D$12</f>
        <v>Salary &amp; load</v>
      </c>
      <c r="F163" s="24" t="str">
        <f aca="false">Monthly!$A$12</f>
        <v>Applied Physicist 3</v>
      </c>
      <c r="G163" s="20" t="n">
        <f aca="false">Monthly!W$12</f>
        <v>15250</v>
      </c>
      <c r="H163" s="24" t="str">
        <f aca="false">ScenarioName</f>
        <v>Base</v>
      </c>
    </row>
    <row r="164" customFormat="false" ht="15" hidden="false" customHeight="false" outlineLevel="0" collapsed="false">
      <c r="A164" s="8" t="n">
        <v>19</v>
      </c>
      <c r="B164" s="39" t="n">
        <f aca="false">EDATE(StartDate,A164-1)</f>
        <v>46935</v>
      </c>
      <c r="C164" s="24" t="str">
        <f aca="false">Monthly!$B$12</f>
        <v>EnergyWave, Inc.</v>
      </c>
      <c r="D164" s="24" t="str">
        <f aca="false">Monthly!$C$12</f>
        <v>Payroll</v>
      </c>
      <c r="E164" s="24" t="str">
        <f aca="false">Monthly!$D$12</f>
        <v>Salary &amp; load</v>
      </c>
      <c r="F164" s="24" t="str">
        <f aca="false">Monthly!$A$12</f>
        <v>Applied Physicist 3</v>
      </c>
      <c r="G164" s="20" t="n">
        <f aca="false">Monthly!X$12</f>
        <v>15250</v>
      </c>
      <c r="H164" s="24" t="str">
        <f aca="false">ScenarioName</f>
        <v>Base</v>
      </c>
    </row>
    <row r="165" customFormat="false" ht="15" hidden="false" customHeight="false" outlineLevel="0" collapsed="false">
      <c r="A165" s="8" t="n">
        <v>20</v>
      </c>
      <c r="B165" s="39" t="n">
        <f aca="false">EDATE(StartDate,A165-1)</f>
        <v>46966</v>
      </c>
      <c r="C165" s="24" t="str">
        <f aca="false">Monthly!$B$12</f>
        <v>EnergyWave, Inc.</v>
      </c>
      <c r="D165" s="24" t="str">
        <f aca="false">Monthly!$C$12</f>
        <v>Payroll</v>
      </c>
      <c r="E165" s="24" t="str">
        <f aca="false">Monthly!$D$12</f>
        <v>Salary &amp; load</v>
      </c>
      <c r="F165" s="24" t="str">
        <f aca="false">Monthly!$A$12</f>
        <v>Applied Physicist 3</v>
      </c>
      <c r="G165" s="20" t="n">
        <f aca="false">Monthly!Y$12</f>
        <v>15250</v>
      </c>
      <c r="H165" s="24" t="str">
        <f aca="false">ScenarioName</f>
        <v>Base</v>
      </c>
    </row>
    <row r="166" customFormat="false" ht="15" hidden="false" customHeight="false" outlineLevel="0" collapsed="false">
      <c r="A166" s="8" t="n">
        <v>21</v>
      </c>
      <c r="B166" s="39" t="n">
        <f aca="false">EDATE(StartDate,A166-1)</f>
        <v>46997</v>
      </c>
      <c r="C166" s="24" t="str">
        <f aca="false">Monthly!$B$12</f>
        <v>EnergyWave, Inc.</v>
      </c>
      <c r="D166" s="24" t="str">
        <f aca="false">Monthly!$C$12</f>
        <v>Payroll</v>
      </c>
      <c r="E166" s="24" t="str">
        <f aca="false">Monthly!$D$12</f>
        <v>Salary &amp; load</v>
      </c>
      <c r="F166" s="24" t="str">
        <f aca="false">Monthly!$A$12</f>
        <v>Applied Physicist 3</v>
      </c>
      <c r="G166" s="20" t="n">
        <f aca="false">Monthly!Z$12</f>
        <v>15250</v>
      </c>
      <c r="H166" s="24" t="str">
        <f aca="false">ScenarioName</f>
        <v>Base</v>
      </c>
    </row>
    <row r="167" customFormat="false" ht="15" hidden="false" customHeight="false" outlineLevel="0" collapsed="false">
      <c r="A167" s="8" t="n">
        <v>22</v>
      </c>
      <c r="B167" s="39" t="n">
        <f aca="false">EDATE(StartDate,A167-1)</f>
        <v>47027</v>
      </c>
      <c r="C167" s="24" t="str">
        <f aca="false">Monthly!$B$12</f>
        <v>EnergyWave, Inc.</v>
      </c>
      <c r="D167" s="24" t="str">
        <f aca="false">Monthly!$C$12</f>
        <v>Payroll</v>
      </c>
      <c r="E167" s="24" t="str">
        <f aca="false">Monthly!$D$12</f>
        <v>Salary &amp; load</v>
      </c>
      <c r="F167" s="24" t="str">
        <f aca="false">Monthly!$A$12</f>
        <v>Applied Physicist 3</v>
      </c>
      <c r="G167" s="20" t="n">
        <f aca="false">Monthly!AA$12</f>
        <v>15250</v>
      </c>
      <c r="H167" s="24" t="str">
        <f aca="false">ScenarioName</f>
        <v>Base</v>
      </c>
    </row>
    <row r="168" customFormat="false" ht="15" hidden="false" customHeight="false" outlineLevel="0" collapsed="false">
      <c r="A168" s="8" t="n">
        <v>23</v>
      </c>
      <c r="B168" s="39" t="n">
        <f aca="false">EDATE(StartDate,A168-1)</f>
        <v>47058</v>
      </c>
      <c r="C168" s="24" t="str">
        <f aca="false">Monthly!$B$12</f>
        <v>EnergyWave, Inc.</v>
      </c>
      <c r="D168" s="24" t="str">
        <f aca="false">Monthly!$C$12</f>
        <v>Payroll</v>
      </c>
      <c r="E168" s="24" t="str">
        <f aca="false">Monthly!$D$12</f>
        <v>Salary &amp; load</v>
      </c>
      <c r="F168" s="24" t="str">
        <f aca="false">Monthly!$A$12</f>
        <v>Applied Physicist 3</v>
      </c>
      <c r="G168" s="20" t="n">
        <f aca="false">Monthly!AB$12</f>
        <v>15250</v>
      </c>
      <c r="H168" s="24" t="str">
        <f aca="false">ScenarioName</f>
        <v>Base</v>
      </c>
    </row>
    <row r="169" customFormat="false" ht="15" hidden="false" customHeight="false" outlineLevel="0" collapsed="false">
      <c r="A169" s="8" t="n">
        <v>24</v>
      </c>
      <c r="B169" s="39" t="n">
        <f aca="false">EDATE(StartDate,A169-1)</f>
        <v>47088</v>
      </c>
      <c r="C169" s="24" t="str">
        <f aca="false">Monthly!$B$12</f>
        <v>EnergyWave, Inc.</v>
      </c>
      <c r="D169" s="24" t="str">
        <f aca="false">Monthly!$C$12</f>
        <v>Payroll</v>
      </c>
      <c r="E169" s="24" t="str">
        <f aca="false">Monthly!$D$12</f>
        <v>Salary &amp; load</v>
      </c>
      <c r="F169" s="24" t="str">
        <f aca="false">Monthly!$A$12</f>
        <v>Applied Physicist 3</v>
      </c>
      <c r="G169" s="20" t="n">
        <f aca="false">Monthly!AC$12</f>
        <v>15250</v>
      </c>
      <c r="H169" s="24" t="str">
        <f aca="false">ScenarioName</f>
        <v>Base</v>
      </c>
    </row>
    <row r="170" customFormat="false" ht="15" hidden="false" customHeight="false" outlineLevel="0" collapsed="false">
      <c r="A170" s="8" t="n">
        <v>25</v>
      </c>
      <c r="B170" s="39" t="n">
        <f aca="false">EDATE(StartDate,A170-1)</f>
        <v>47119</v>
      </c>
      <c r="C170" s="24" t="str">
        <f aca="false">Monthly!$B$12</f>
        <v>EnergyWave, Inc.</v>
      </c>
      <c r="D170" s="24" t="str">
        <f aca="false">Monthly!$C$12</f>
        <v>Payroll</v>
      </c>
      <c r="E170" s="24" t="str">
        <f aca="false">Monthly!$D$12</f>
        <v>Salary &amp; load</v>
      </c>
      <c r="F170" s="24" t="str">
        <f aca="false">Monthly!$A$12</f>
        <v>Applied Physicist 3</v>
      </c>
      <c r="G170" s="20" t="n">
        <f aca="false">Monthly!AD$12</f>
        <v>15250</v>
      </c>
      <c r="H170" s="24" t="str">
        <f aca="false">ScenarioName</f>
        <v>Base</v>
      </c>
    </row>
    <row r="171" customFormat="false" ht="15" hidden="false" customHeight="false" outlineLevel="0" collapsed="false">
      <c r="A171" s="8" t="n">
        <v>26</v>
      </c>
      <c r="B171" s="39" t="n">
        <f aca="false">EDATE(StartDate,A171-1)</f>
        <v>47150</v>
      </c>
      <c r="C171" s="24" t="str">
        <f aca="false">Monthly!$B$12</f>
        <v>EnergyWave, Inc.</v>
      </c>
      <c r="D171" s="24" t="str">
        <f aca="false">Monthly!$C$12</f>
        <v>Payroll</v>
      </c>
      <c r="E171" s="24" t="str">
        <f aca="false">Monthly!$D$12</f>
        <v>Salary &amp; load</v>
      </c>
      <c r="F171" s="24" t="str">
        <f aca="false">Monthly!$A$12</f>
        <v>Applied Physicist 3</v>
      </c>
      <c r="G171" s="20" t="n">
        <f aca="false">Monthly!AE$12</f>
        <v>15250</v>
      </c>
      <c r="H171" s="24" t="str">
        <f aca="false">ScenarioName</f>
        <v>Base</v>
      </c>
    </row>
    <row r="172" customFormat="false" ht="15" hidden="false" customHeight="false" outlineLevel="0" collapsed="false">
      <c r="A172" s="8" t="n">
        <v>27</v>
      </c>
      <c r="B172" s="39" t="n">
        <f aca="false">EDATE(StartDate,A172-1)</f>
        <v>47178</v>
      </c>
      <c r="C172" s="24" t="str">
        <f aca="false">Monthly!$B$12</f>
        <v>EnergyWave, Inc.</v>
      </c>
      <c r="D172" s="24" t="str">
        <f aca="false">Monthly!$C$12</f>
        <v>Payroll</v>
      </c>
      <c r="E172" s="24" t="str">
        <f aca="false">Monthly!$D$12</f>
        <v>Salary &amp; load</v>
      </c>
      <c r="F172" s="24" t="str">
        <f aca="false">Monthly!$A$12</f>
        <v>Applied Physicist 3</v>
      </c>
      <c r="G172" s="20" t="n">
        <f aca="false">Monthly!AF$12</f>
        <v>15250</v>
      </c>
      <c r="H172" s="24" t="str">
        <f aca="false">ScenarioName</f>
        <v>Base</v>
      </c>
    </row>
    <row r="173" customFormat="false" ht="15" hidden="false" customHeight="false" outlineLevel="0" collapsed="false">
      <c r="A173" s="8" t="n">
        <v>28</v>
      </c>
      <c r="B173" s="39" t="n">
        <f aca="false">EDATE(StartDate,A173-1)</f>
        <v>47209</v>
      </c>
      <c r="C173" s="24" t="str">
        <f aca="false">Monthly!$B$12</f>
        <v>EnergyWave, Inc.</v>
      </c>
      <c r="D173" s="24" t="str">
        <f aca="false">Monthly!$C$12</f>
        <v>Payroll</v>
      </c>
      <c r="E173" s="24" t="str">
        <f aca="false">Monthly!$D$12</f>
        <v>Salary &amp; load</v>
      </c>
      <c r="F173" s="24" t="str">
        <f aca="false">Monthly!$A$12</f>
        <v>Applied Physicist 3</v>
      </c>
      <c r="G173" s="20" t="n">
        <f aca="false">Monthly!AG$12</f>
        <v>15250</v>
      </c>
      <c r="H173" s="24" t="str">
        <f aca="false">ScenarioName</f>
        <v>Base</v>
      </c>
    </row>
    <row r="174" customFormat="false" ht="15" hidden="false" customHeight="false" outlineLevel="0" collapsed="false">
      <c r="A174" s="8" t="n">
        <v>29</v>
      </c>
      <c r="B174" s="39" t="n">
        <f aca="false">EDATE(StartDate,A174-1)</f>
        <v>47239</v>
      </c>
      <c r="C174" s="24" t="str">
        <f aca="false">Monthly!$B$12</f>
        <v>EnergyWave, Inc.</v>
      </c>
      <c r="D174" s="24" t="str">
        <f aca="false">Monthly!$C$12</f>
        <v>Payroll</v>
      </c>
      <c r="E174" s="24" t="str">
        <f aca="false">Monthly!$D$12</f>
        <v>Salary &amp; load</v>
      </c>
      <c r="F174" s="24" t="str">
        <f aca="false">Monthly!$A$12</f>
        <v>Applied Physicist 3</v>
      </c>
      <c r="G174" s="20" t="n">
        <f aca="false">Monthly!AH$12</f>
        <v>15250</v>
      </c>
      <c r="H174" s="24" t="str">
        <f aca="false">ScenarioName</f>
        <v>Base</v>
      </c>
    </row>
    <row r="175" customFormat="false" ht="15" hidden="false" customHeight="false" outlineLevel="0" collapsed="false">
      <c r="A175" s="8" t="n">
        <v>30</v>
      </c>
      <c r="B175" s="39" t="n">
        <f aca="false">EDATE(StartDate,A175-1)</f>
        <v>47270</v>
      </c>
      <c r="C175" s="24" t="str">
        <f aca="false">Monthly!$B$12</f>
        <v>EnergyWave, Inc.</v>
      </c>
      <c r="D175" s="24" t="str">
        <f aca="false">Monthly!$C$12</f>
        <v>Payroll</v>
      </c>
      <c r="E175" s="24" t="str">
        <f aca="false">Monthly!$D$12</f>
        <v>Salary &amp; load</v>
      </c>
      <c r="F175" s="24" t="str">
        <f aca="false">Monthly!$A$12</f>
        <v>Applied Physicist 3</v>
      </c>
      <c r="G175" s="20" t="n">
        <f aca="false">Monthly!AI$12</f>
        <v>15250</v>
      </c>
      <c r="H175" s="24" t="str">
        <f aca="false">ScenarioName</f>
        <v>Base</v>
      </c>
    </row>
    <row r="176" customFormat="false" ht="15" hidden="false" customHeight="false" outlineLevel="0" collapsed="false">
      <c r="A176" s="8" t="n">
        <v>31</v>
      </c>
      <c r="B176" s="39" t="n">
        <f aca="false">EDATE(StartDate,A176-1)</f>
        <v>47300</v>
      </c>
      <c r="C176" s="24" t="str">
        <f aca="false">Monthly!$B$12</f>
        <v>EnergyWave, Inc.</v>
      </c>
      <c r="D176" s="24" t="str">
        <f aca="false">Monthly!$C$12</f>
        <v>Payroll</v>
      </c>
      <c r="E176" s="24" t="str">
        <f aca="false">Monthly!$D$12</f>
        <v>Salary &amp; load</v>
      </c>
      <c r="F176" s="24" t="str">
        <f aca="false">Monthly!$A$12</f>
        <v>Applied Physicist 3</v>
      </c>
      <c r="G176" s="20" t="n">
        <f aca="false">Monthly!AJ$12</f>
        <v>15250</v>
      </c>
      <c r="H176" s="24" t="str">
        <f aca="false">ScenarioName</f>
        <v>Base</v>
      </c>
    </row>
    <row r="177" customFormat="false" ht="15" hidden="false" customHeight="false" outlineLevel="0" collapsed="false">
      <c r="A177" s="8" t="n">
        <v>32</v>
      </c>
      <c r="B177" s="39" t="n">
        <f aca="false">EDATE(StartDate,A177-1)</f>
        <v>47331</v>
      </c>
      <c r="C177" s="24" t="str">
        <f aca="false">Monthly!$B$12</f>
        <v>EnergyWave, Inc.</v>
      </c>
      <c r="D177" s="24" t="str">
        <f aca="false">Monthly!$C$12</f>
        <v>Payroll</v>
      </c>
      <c r="E177" s="24" t="str">
        <f aca="false">Monthly!$D$12</f>
        <v>Salary &amp; load</v>
      </c>
      <c r="F177" s="24" t="str">
        <f aca="false">Monthly!$A$12</f>
        <v>Applied Physicist 3</v>
      </c>
      <c r="G177" s="20" t="n">
        <f aca="false">Monthly!AK$12</f>
        <v>15250</v>
      </c>
      <c r="H177" s="24" t="str">
        <f aca="false">ScenarioName</f>
        <v>Base</v>
      </c>
    </row>
    <row r="178" customFormat="false" ht="15" hidden="false" customHeight="false" outlineLevel="0" collapsed="false">
      <c r="A178" s="8" t="n">
        <v>33</v>
      </c>
      <c r="B178" s="39" t="n">
        <f aca="false">EDATE(StartDate,A178-1)</f>
        <v>47362</v>
      </c>
      <c r="C178" s="24" t="str">
        <f aca="false">Monthly!$B$12</f>
        <v>EnergyWave, Inc.</v>
      </c>
      <c r="D178" s="24" t="str">
        <f aca="false">Monthly!$C$12</f>
        <v>Payroll</v>
      </c>
      <c r="E178" s="24" t="str">
        <f aca="false">Monthly!$D$12</f>
        <v>Salary &amp; load</v>
      </c>
      <c r="F178" s="24" t="str">
        <f aca="false">Monthly!$A$12</f>
        <v>Applied Physicist 3</v>
      </c>
      <c r="G178" s="20" t="n">
        <f aca="false">Monthly!AL$12</f>
        <v>15250</v>
      </c>
      <c r="H178" s="24" t="str">
        <f aca="false">ScenarioName</f>
        <v>Base</v>
      </c>
    </row>
    <row r="179" customFormat="false" ht="15" hidden="false" customHeight="false" outlineLevel="0" collapsed="false">
      <c r="A179" s="8" t="n">
        <v>34</v>
      </c>
      <c r="B179" s="39" t="n">
        <f aca="false">EDATE(StartDate,A179-1)</f>
        <v>47392</v>
      </c>
      <c r="C179" s="24" t="str">
        <f aca="false">Monthly!$B$12</f>
        <v>EnergyWave, Inc.</v>
      </c>
      <c r="D179" s="24" t="str">
        <f aca="false">Monthly!$C$12</f>
        <v>Payroll</v>
      </c>
      <c r="E179" s="24" t="str">
        <f aca="false">Monthly!$D$12</f>
        <v>Salary &amp; load</v>
      </c>
      <c r="F179" s="24" t="str">
        <f aca="false">Monthly!$A$12</f>
        <v>Applied Physicist 3</v>
      </c>
      <c r="G179" s="20" t="n">
        <f aca="false">Monthly!AM$12</f>
        <v>15250</v>
      </c>
      <c r="H179" s="24" t="str">
        <f aca="false">ScenarioName</f>
        <v>Base</v>
      </c>
    </row>
    <row r="180" customFormat="false" ht="15" hidden="false" customHeight="false" outlineLevel="0" collapsed="false">
      <c r="A180" s="8" t="n">
        <v>35</v>
      </c>
      <c r="B180" s="39" t="n">
        <f aca="false">EDATE(StartDate,A180-1)</f>
        <v>47423</v>
      </c>
      <c r="C180" s="24" t="str">
        <f aca="false">Monthly!$B$12</f>
        <v>EnergyWave, Inc.</v>
      </c>
      <c r="D180" s="24" t="str">
        <f aca="false">Monthly!$C$12</f>
        <v>Payroll</v>
      </c>
      <c r="E180" s="24" t="str">
        <f aca="false">Monthly!$D$12</f>
        <v>Salary &amp; load</v>
      </c>
      <c r="F180" s="24" t="str">
        <f aca="false">Monthly!$A$12</f>
        <v>Applied Physicist 3</v>
      </c>
      <c r="G180" s="20" t="n">
        <f aca="false">Monthly!AN$12</f>
        <v>15250</v>
      </c>
      <c r="H180" s="24" t="str">
        <f aca="false">ScenarioName</f>
        <v>Base</v>
      </c>
    </row>
    <row r="181" customFormat="false" ht="15" hidden="false" customHeight="false" outlineLevel="0" collapsed="false">
      <c r="A181" s="8" t="n">
        <v>36</v>
      </c>
      <c r="B181" s="39" t="n">
        <f aca="false">EDATE(StartDate,A181-1)</f>
        <v>47453</v>
      </c>
      <c r="C181" s="24" t="str">
        <f aca="false">Monthly!$B$12</f>
        <v>EnergyWave, Inc.</v>
      </c>
      <c r="D181" s="24" t="str">
        <f aca="false">Monthly!$C$12</f>
        <v>Payroll</v>
      </c>
      <c r="E181" s="24" t="str">
        <f aca="false">Monthly!$D$12</f>
        <v>Salary &amp; load</v>
      </c>
      <c r="F181" s="24" t="str">
        <f aca="false">Monthly!$A$12</f>
        <v>Applied Physicist 3</v>
      </c>
      <c r="G181" s="20" t="n">
        <f aca="false">Monthly!AO$12</f>
        <v>15250</v>
      </c>
      <c r="H181" s="24" t="str">
        <f aca="false">ScenarioName</f>
        <v>Base</v>
      </c>
    </row>
    <row r="182" customFormat="false" ht="15" hidden="false" customHeight="false" outlineLevel="0" collapsed="false">
      <c r="A182" s="8" t="n">
        <v>1</v>
      </c>
      <c r="B182" s="39" t="n">
        <f aca="false">EDATE(StartDate,A182-1)</f>
        <v>46388</v>
      </c>
      <c r="C182" s="24" t="str">
        <f aca="false">Monthly!$B$13</f>
        <v>EnergyWave, Inc.</v>
      </c>
      <c r="D182" s="24" t="str">
        <f aca="false">Monthly!$C$13</f>
        <v>Payroll</v>
      </c>
      <c r="E182" s="24" t="str">
        <f aca="false">Monthly!$D$13</f>
        <v>Salary &amp; load</v>
      </c>
      <c r="F182" s="24" t="str">
        <f aca="false">Monthly!$A$13</f>
        <v>Applied Physicist 4</v>
      </c>
      <c r="G182" s="20" t="n">
        <f aca="false">Monthly!F$13</f>
        <v>0</v>
      </c>
      <c r="H182" s="24" t="str">
        <f aca="false">ScenarioName</f>
        <v>Base</v>
      </c>
    </row>
    <row r="183" customFormat="false" ht="15" hidden="false" customHeight="false" outlineLevel="0" collapsed="false">
      <c r="A183" s="8" t="n">
        <v>2</v>
      </c>
      <c r="B183" s="39" t="n">
        <f aca="false">EDATE(StartDate,A183-1)</f>
        <v>46419</v>
      </c>
      <c r="C183" s="24" t="str">
        <f aca="false">Monthly!$B$13</f>
        <v>EnergyWave, Inc.</v>
      </c>
      <c r="D183" s="24" t="str">
        <f aca="false">Monthly!$C$13</f>
        <v>Payroll</v>
      </c>
      <c r="E183" s="24" t="str">
        <f aca="false">Monthly!$D$13</f>
        <v>Salary &amp; load</v>
      </c>
      <c r="F183" s="24" t="str">
        <f aca="false">Monthly!$A$13</f>
        <v>Applied Physicist 4</v>
      </c>
      <c r="G183" s="20" t="n">
        <f aca="false">Monthly!G$13</f>
        <v>0</v>
      </c>
      <c r="H183" s="24" t="str">
        <f aca="false">ScenarioName</f>
        <v>Base</v>
      </c>
    </row>
    <row r="184" customFormat="false" ht="15" hidden="false" customHeight="false" outlineLevel="0" collapsed="false">
      <c r="A184" s="8" t="n">
        <v>3</v>
      </c>
      <c r="B184" s="39" t="n">
        <f aca="false">EDATE(StartDate,A184-1)</f>
        <v>46447</v>
      </c>
      <c r="C184" s="24" t="str">
        <f aca="false">Monthly!$B$13</f>
        <v>EnergyWave, Inc.</v>
      </c>
      <c r="D184" s="24" t="str">
        <f aca="false">Monthly!$C$13</f>
        <v>Payroll</v>
      </c>
      <c r="E184" s="24" t="str">
        <f aca="false">Monthly!$D$13</f>
        <v>Salary &amp; load</v>
      </c>
      <c r="F184" s="24" t="str">
        <f aca="false">Monthly!$A$13</f>
        <v>Applied Physicist 4</v>
      </c>
      <c r="G184" s="20" t="n">
        <f aca="false">Monthly!H$13</f>
        <v>0</v>
      </c>
      <c r="H184" s="24" t="str">
        <f aca="false">ScenarioName</f>
        <v>Base</v>
      </c>
    </row>
    <row r="185" customFormat="false" ht="15" hidden="false" customHeight="false" outlineLevel="0" collapsed="false">
      <c r="A185" s="8" t="n">
        <v>4</v>
      </c>
      <c r="B185" s="39" t="n">
        <f aca="false">EDATE(StartDate,A185-1)</f>
        <v>46478</v>
      </c>
      <c r="C185" s="24" t="str">
        <f aca="false">Monthly!$B$13</f>
        <v>EnergyWave, Inc.</v>
      </c>
      <c r="D185" s="24" t="str">
        <f aca="false">Monthly!$C$13</f>
        <v>Payroll</v>
      </c>
      <c r="E185" s="24" t="str">
        <f aca="false">Monthly!$D$13</f>
        <v>Salary &amp; load</v>
      </c>
      <c r="F185" s="24" t="str">
        <f aca="false">Monthly!$A$13</f>
        <v>Applied Physicist 4</v>
      </c>
      <c r="G185" s="20" t="n">
        <f aca="false">Monthly!I$13</f>
        <v>15250</v>
      </c>
      <c r="H185" s="24" t="str">
        <f aca="false">ScenarioName</f>
        <v>Base</v>
      </c>
    </row>
    <row r="186" customFormat="false" ht="15" hidden="false" customHeight="false" outlineLevel="0" collapsed="false">
      <c r="A186" s="8" t="n">
        <v>5</v>
      </c>
      <c r="B186" s="39" t="n">
        <f aca="false">EDATE(StartDate,A186-1)</f>
        <v>46508</v>
      </c>
      <c r="C186" s="24" t="str">
        <f aca="false">Monthly!$B$13</f>
        <v>EnergyWave, Inc.</v>
      </c>
      <c r="D186" s="24" t="str">
        <f aca="false">Monthly!$C$13</f>
        <v>Payroll</v>
      </c>
      <c r="E186" s="24" t="str">
        <f aca="false">Monthly!$D$13</f>
        <v>Salary &amp; load</v>
      </c>
      <c r="F186" s="24" t="str">
        <f aca="false">Monthly!$A$13</f>
        <v>Applied Physicist 4</v>
      </c>
      <c r="G186" s="20" t="n">
        <f aca="false">Monthly!J$13</f>
        <v>15250</v>
      </c>
      <c r="H186" s="24" t="str">
        <f aca="false">ScenarioName</f>
        <v>Base</v>
      </c>
    </row>
    <row r="187" customFormat="false" ht="15" hidden="false" customHeight="false" outlineLevel="0" collapsed="false">
      <c r="A187" s="8" t="n">
        <v>6</v>
      </c>
      <c r="B187" s="39" t="n">
        <f aca="false">EDATE(StartDate,A187-1)</f>
        <v>46539</v>
      </c>
      <c r="C187" s="24" t="str">
        <f aca="false">Monthly!$B$13</f>
        <v>EnergyWave, Inc.</v>
      </c>
      <c r="D187" s="24" t="str">
        <f aca="false">Monthly!$C$13</f>
        <v>Payroll</v>
      </c>
      <c r="E187" s="24" t="str">
        <f aca="false">Monthly!$D$13</f>
        <v>Salary &amp; load</v>
      </c>
      <c r="F187" s="24" t="str">
        <f aca="false">Monthly!$A$13</f>
        <v>Applied Physicist 4</v>
      </c>
      <c r="G187" s="20" t="n">
        <f aca="false">Monthly!K$13</f>
        <v>15250</v>
      </c>
      <c r="H187" s="24" t="str">
        <f aca="false">ScenarioName</f>
        <v>Base</v>
      </c>
    </row>
    <row r="188" customFormat="false" ht="15" hidden="false" customHeight="false" outlineLevel="0" collapsed="false">
      <c r="A188" s="8" t="n">
        <v>7</v>
      </c>
      <c r="B188" s="39" t="n">
        <f aca="false">EDATE(StartDate,A188-1)</f>
        <v>46569</v>
      </c>
      <c r="C188" s="24" t="str">
        <f aca="false">Monthly!$B$13</f>
        <v>EnergyWave, Inc.</v>
      </c>
      <c r="D188" s="24" t="str">
        <f aca="false">Monthly!$C$13</f>
        <v>Payroll</v>
      </c>
      <c r="E188" s="24" t="str">
        <f aca="false">Monthly!$D$13</f>
        <v>Salary &amp; load</v>
      </c>
      <c r="F188" s="24" t="str">
        <f aca="false">Monthly!$A$13</f>
        <v>Applied Physicist 4</v>
      </c>
      <c r="G188" s="20" t="n">
        <f aca="false">Monthly!L$13</f>
        <v>15250</v>
      </c>
      <c r="H188" s="24" t="str">
        <f aca="false">ScenarioName</f>
        <v>Base</v>
      </c>
    </row>
    <row r="189" customFormat="false" ht="15" hidden="false" customHeight="false" outlineLevel="0" collapsed="false">
      <c r="A189" s="8" t="n">
        <v>8</v>
      </c>
      <c r="B189" s="39" t="n">
        <f aca="false">EDATE(StartDate,A189-1)</f>
        <v>46600</v>
      </c>
      <c r="C189" s="24" t="str">
        <f aca="false">Monthly!$B$13</f>
        <v>EnergyWave, Inc.</v>
      </c>
      <c r="D189" s="24" t="str">
        <f aca="false">Monthly!$C$13</f>
        <v>Payroll</v>
      </c>
      <c r="E189" s="24" t="str">
        <f aca="false">Monthly!$D$13</f>
        <v>Salary &amp; load</v>
      </c>
      <c r="F189" s="24" t="str">
        <f aca="false">Monthly!$A$13</f>
        <v>Applied Physicist 4</v>
      </c>
      <c r="G189" s="20" t="n">
        <f aca="false">Monthly!M$13</f>
        <v>15250</v>
      </c>
      <c r="H189" s="24" t="str">
        <f aca="false">ScenarioName</f>
        <v>Base</v>
      </c>
    </row>
    <row r="190" customFormat="false" ht="15" hidden="false" customHeight="false" outlineLevel="0" collapsed="false">
      <c r="A190" s="8" t="n">
        <v>9</v>
      </c>
      <c r="B190" s="39" t="n">
        <f aca="false">EDATE(StartDate,A190-1)</f>
        <v>46631</v>
      </c>
      <c r="C190" s="24" t="str">
        <f aca="false">Monthly!$B$13</f>
        <v>EnergyWave, Inc.</v>
      </c>
      <c r="D190" s="24" t="str">
        <f aca="false">Monthly!$C$13</f>
        <v>Payroll</v>
      </c>
      <c r="E190" s="24" t="str">
        <f aca="false">Monthly!$D$13</f>
        <v>Salary &amp; load</v>
      </c>
      <c r="F190" s="24" t="str">
        <f aca="false">Monthly!$A$13</f>
        <v>Applied Physicist 4</v>
      </c>
      <c r="G190" s="20" t="n">
        <f aca="false">Monthly!N$13</f>
        <v>15250</v>
      </c>
      <c r="H190" s="24" t="str">
        <f aca="false">ScenarioName</f>
        <v>Base</v>
      </c>
    </row>
    <row r="191" customFormat="false" ht="15" hidden="false" customHeight="false" outlineLevel="0" collapsed="false">
      <c r="A191" s="8" t="n">
        <v>10</v>
      </c>
      <c r="B191" s="39" t="n">
        <f aca="false">EDATE(StartDate,A191-1)</f>
        <v>46661</v>
      </c>
      <c r="C191" s="24" t="str">
        <f aca="false">Monthly!$B$13</f>
        <v>EnergyWave, Inc.</v>
      </c>
      <c r="D191" s="24" t="str">
        <f aca="false">Monthly!$C$13</f>
        <v>Payroll</v>
      </c>
      <c r="E191" s="24" t="str">
        <f aca="false">Monthly!$D$13</f>
        <v>Salary &amp; load</v>
      </c>
      <c r="F191" s="24" t="str">
        <f aca="false">Monthly!$A$13</f>
        <v>Applied Physicist 4</v>
      </c>
      <c r="G191" s="20" t="n">
        <f aca="false">Monthly!O$13</f>
        <v>15250</v>
      </c>
      <c r="H191" s="24" t="str">
        <f aca="false">ScenarioName</f>
        <v>Base</v>
      </c>
    </row>
    <row r="192" customFormat="false" ht="15" hidden="false" customHeight="false" outlineLevel="0" collapsed="false">
      <c r="A192" s="8" t="n">
        <v>11</v>
      </c>
      <c r="B192" s="39" t="n">
        <f aca="false">EDATE(StartDate,A192-1)</f>
        <v>46692</v>
      </c>
      <c r="C192" s="24" t="str">
        <f aca="false">Monthly!$B$13</f>
        <v>EnergyWave, Inc.</v>
      </c>
      <c r="D192" s="24" t="str">
        <f aca="false">Monthly!$C$13</f>
        <v>Payroll</v>
      </c>
      <c r="E192" s="24" t="str">
        <f aca="false">Monthly!$D$13</f>
        <v>Salary &amp; load</v>
      </c>
      <c r="F192" s="24" t="str">
        <f aca="false">Monthly!$A$13</f>
        <v>Applied Physicist 4</v>
      </c>
      <c r="G192" s="20" t="n">
        <f aca="false">Monthly!P$13</f>
        <v>15250</v>
      </c>
      <c r="H192" s="24" t="str">
        <f aca="false">ScenarioName</f>
        <v>Base</v>
      </c>
    </row>
    <row r="193" customFormat="false" ht="15" hidden="false" customHeight="false" outlineLevel="0" collapsed="false">
      <c r="A193" s="8" t="n">
        <v>12</v>
      </c>
      <c r="B193" s="39" t="n">
        <f aca="false">EDATE(StartDate,A193-1)</f>
        <v>46722</v>
      </c>
      <c r="C193" s="24" t="str">
        <f aca="false">Monthly!$B$13</f>
        <v>EnergyWave, Inc.</v>
      </c>
      <c r="D193" s="24" t="str">
        <f aca="false">Monthly!$C$13</f>
        <v>Payroll</v>
      </c>
      <c r="E193" s="24" t="str">
        <f aca="false">Monthly!$D$13</f>
        <v>Salary &amp; load</v>
      </c>
      <c r="F193" s="24" t="str">
        <f aca="false">Monthly!$A$13</f>
        <v>Applied Physicist 4</v>
      </c>
      <c r="G193" s="20" t="n">
        <f aca="false">Monthly!Q$13</f>
        <v>15250</v>
      </c>
      <c r="H193" s="24" t="str">
        <f aca="false">ScenarioName</f>
        <v>Base</v>
      </c>
    </row>
    <row r="194" customFormat="false" ht="15" hidden="false" customHeight="false" outlineLevel="0" collapsed="false">
      <c r="A194" s="8" t="n">
        <v>13</v>
      </c>
      <c r="B194" s="39" t="n">
        <f aca="false">EDATE(StartDate,A194-1)</f>
        <v>46753</v>
      </c>
      <c r="C194" s="24" t="str">
        <f aca="false">Monthly!$B$13</f>
        <v>EnergyWave, Inc.</v>
      </c>
      <c r="D194" s="24" t="str">
        <f aca="false">Monthly!$C$13</f>
        <v>Payroll</v>
      </c>
      <c r="E194" s="24" t="str">
        <f aca="false">Monthly!$D$13</f>
        <v>Salary &amp; load</v>
      </c>
      <c r="F194" s="24" t="str">
        <f aca="false">Monthly!$A$13</f>
        <v>Applied Physicist 4</v>
      </c>
      <c r="G194" s="20" t="n">
        <f aca="false">Monthly!R$13</f>
        <v>15250</v>
      </c>
      <c r="H194" s="24" t="str">
        <f aca="false">ScenarioName</f>
        <v>Base</v>
      </c>
    </row>
    <row r="195" customFormat="false" ht="15" hidden="false" customHeight="false" outlineLevel="0" collapsed="false">
      <c r="A195" s="8" t="n">
        <v>14</v>
      </c>
      <c r="B195" s="39" t="n">
        <f aca="false">EDATE(StartDate,A195-1)</f>
        <v>46784</v>
      </c>
      <c r="C195" s="24" t="str">
        <f aca="false">Monthly!$B$13</f>
        <v>EnergyWave, Inc.</v>
      </c>
      <c r="D195" s="24" t="str">
        <f aca="false">Monthly!$C$13</f>
        <v>Payroll</v>
      </c>
      <c r="E195" s="24" t="str">
        <f aca="false">Monthly!$D$13</f>
        <v>Salary &amp; load</v>
      </c>
      <c r="F195" s="24" t="str">
        <f aca="false">Monthly!$A$13</f>
        <v>Applied Physicist 4</v>
      </c>
      <c r="G195" s="20" t="n">
        <f aca="false">Monthly!S$13</f>
        <v>15250</v>
      </c>
      <c r="H195" s="24" t="str">
        <f aca="false">ScenarioName</f>
        <v>Base</v>
      </c>
    </row>
    <row r="196" customFormat="false" ht="15" hidden="false" customHeight="false" outlineLevel="0" collapsed="false">
      <c r="A196" s="8" t="n">
        <v>15</v>
      </c>
      <c r="B196" s="39" t="n">
        <f aca="false">EDATE(StartDate,A196-1)</f>
        <v>46813</v>
      </c>
      <c r="C196" s="24" t="str">
        <f aca="false">Monthly!$B$13</f>
        <v>EnergyWave, Inc.</v>
      </c>
      <c r="D196" s="24" t="str">
        <f aca="false">Monthly!$C$13</f>
        <v>Payroll</v>
      </c>
      <c r="E196" s="24" t="str">
        <f aca="false">Monthly!$D$13</f>
        <v>Salary &amp; load</v>
      </c>
      <c r="F196" s="24" t="str">
        <f aca="false">Monthly!$A$13</f>
        <v>Applied Physicist 4</v>
      </c>
      <c r="G196" s="20" t="n">
        <f aca="false">Monthly!T$13</f>
        <v>15250</v>
      </c>
      <c r="H196" s="24" t="str">
        <f aca="false">ScenarioName</f>
        <v>Base</v>
      </c>
    </row>
    <row r="197" customFormat="false" ht="15" hidden="false" customHeight="false" outlineLevel="0" collapsed="false">
      <c r="A197" s="8" t="n">
        <v>16</v>
      </c>
      <c r="B197" s="39" t="n">
        <f aca="false">EDATE(StartDate,A197-1)</f>
        <v>46844</v>
      </c>
      <c r="C197" s="24" t="str">
        <f aca="false">Monthly!$B$13</f>
        <v>EnergyWave, Inc.</v>
      </c>
      <c r="D197" s="24" t="str">
        <f aca="false">Monthly!$C$13</f>
        <v>Payroll</v>
      </c>
      <c r="E197" s="24" t="str">
        <f aca="false">Monthly!$D$13</f>
        <v>Salary &amp; load</v>
      </c>
      <c r="F197" s="24" t="str">
        <f aca="false">Monthly!$A$13</f>
        <v>Applied Physicist 4</v>
      </c>
      <c r="G197" s="20" t="n">
        <f aca="false">Monthly!U$13</f>
        <v>15250</v>
      </c>
      <c r="H197" s="24" t="str">
        <f aca="false">ScenarioName</f>
        <v>Base</v>
      </c>
    </row>
    <row r="198" customFormat="false" ht="15" hidden="false" customHeight="false" outlineLevel="0" collapsed="false">
      <c r="A198" s="8" t="n">
        <v>17</v>
      </c>
      <c r="B198" s="39" t="n">
        <f aca="false">EDATE(StartDate,A198-1)</f>
        <v>46874</v>
      </c>
      <c r="C198" s="24" t="str">
        <f aca="false">Monthly!$B$13</f>
        <v>EnergyWave, Inc.</v>
      </c>
      <c r="D198" s="24" t="str">
        <f aca="false">Monthly!$C$13</f>
        <v>Payroll</v>
      </c>
      <c r="E198" s="24" t="str">
        <f aca="false">Monthly!$D$13</f>
        <v>Salary &amp; load</v>
      </c>
      <c r="F198" s="24" t="str">
        <f aca="false">Monthly!$A$13</f>
        <v>Applied Physicist 4</v>
      </c>
      <c r="G198" s="20" t="n">
        <f aca="false">Monthly!V$13</f>
        <v>15250</v>
      </c>
      <c r="H198" s="24" t="str">
        <f aca="false">ScenarioName</f>
        <v>Base</v>
      </c>
    </row>
    <row r="199" customFormat="false" ht="15" hidden="false" customHeight="false" outlineLevel="0" collapsed="false">
      <c r="A199" s="8" t="n">
        <v>18</v>
      </c>
      <c r="B199" s="39" t="n">
        <f aca="false">EDATE(StartDate,A199-1)</f>
        <v>46905</v>
      </c>
      <c r="C199" s="24" t="str">
        <f aca="false">Monthly!$B$13</f>
        <v>EnergyWave, Inc.</v>
      </c>
      <c r="D199" s="24" t="str">
        <f aca="false">Monthly!$C$13</f>
        <v>Payroll</v>
      </c>
      <c r="E199" s="24" t="str">
        <f aca="false">Monthly!$D$13</f>
        <v>Salary &amp; load</v>
      </c>
      <c r="F199" s="24" t="str">
        <f aca="false">Monthly!$A$13</f>
        <v>Applied Physicist 4</v>
      </c>
      <c r="G199" s="20" t="n">
        <f aca="false">Monthly!W$13</f>
        <v>15250</v>
      </c>
      <c r="H199" s="24" t="str">
        <f aca="false">ScenarioName</f>
        <v>Base</v>
      </c>
    </row>
    <row r="200" customFormat="false" ht="15" hidden="false" customHeight="false" outlineLevel="0" collapsed="false">
      <c r="A200" s="8" t="n">
        <v>19</v>
      </c>
      <c r="B200" s="39" t="n">
        <f aca="false">EDATE(StartDate,A200-1)</f>
        <v>46935</v>
      </c>
      <c r="C200" s="24" t="str">
        <f aca="false">Monthly!$B$13</f>
        <v>EnergyWave, Inc.</v>
      </c>
      <c r="D200" s="24" t="str">
        <f aca="false">Monthly!$C$13</f>
        <v>Payroll</v>
      </c>
      <c r="E200" s="24" t="str">
        <f aca="false">Monthly!$D$13</f>
        <v>Salary &amp; load</v>
      </c>
      <c r="F200" s="24" t="str">
        <f aca="false">Monthly!$A$13</f>
        <v>Applied Physicist 4</v>
      </c>
      <c r="G200" s="20" t="n">
        <f aca="false">Monthly!X$13</f>
        <v>15250</v>
      </c>
      <c r="H200" s="24" t="str">
        <f aca="false">ScenarioName</f>
        <v>Base</v>
      </c>
    </row>
    <row r="201" customFormat="false" ht="15" hidden="false" customHeight="false" outlineLevel="0" collapsed="false">
      <c r="A201" s="8" t="n">
        <v>20</v>
      </c>
      <c r="B201" s="39" t="n">
        <f aca="false">EDATE(StartDate,A201-1)</f>
        <v>46966</v>
      </c>
      <c r="C201" s="24" t="str">
        <f aca="false">Monthly!$B$13</f>
        <v>EnergyWave, Inc.</v>
      </c>
      <c r="D201" s="24" t="str">
        <f aca="false">Monthly!$C$13</f>
        <v>Payroll</v>
      </c>
      <c r="E201" s="24" t="str">
        <f aca="false">Monthly!$D$13</f>
        <v>Salary &amp; load</v>
      </c>
      <c r="F201" s="24" t="str">
        <f aca="false">Monthly!$A$13</f>
        <v>Applied Physicist 4</v>
      </c>
      <c r="G201" s="20" t="n">
        <f aca="false">Monthly!Y$13</f>
        <v>15250</v>
      </c>
      <c r="H201" s="24" t="str">
        <f aca="false">ScenarioName</f>
        <v>Base</v>
      </c>
    </row>
    <row r="202" customFormat="false" ht="15" hidden="false" customHeight="false" outlineLevel="0" collapsed="false">
      <c r="A202" s="8" t="n">
        <v>21</v>
      </c>
      <c r="B202" s="39" t="n">
        <f aca="false">EDATE(StartDate,A202-1)</f>
        <v>46997</v>
      </c>
      <c r="C202" s="24" t="str">
        <f aca="false">Monthly!$B$13</f>
        <v>EnergyWave, Inc.</v>
      </c>
      <c r="D202" s="24" t="str">
        <f aca="false">Monthly!$C$13</f>
        <v>Payroll</v>
      </c>
      <c r="E202" s="24" t="str">
        <f aca="false">Monthly!$D$13</f>
        <v>Salary &amp; load</v>
      </c>
      <c r="F202" s="24" t="str">
        <f aca="false">Monthly!$A$13</f>
        <v>Applied Physicist 4</v>
      </c>
      <c r="G202" s="20" t="n">
        <f aca="false">Monthly!Z$13</f>
        <v>15250</v>
      </c>
      <c r="H202" s="24" t="str">
        <f aca="false">ScenarioName</f>
        <v>Base</v>
      </c>
    </row>
    <row r="203" customFormat="false" ht="15" hidden="false" customHeight="false" outlineLevel="0" collapsed="false">
      <c r="A203" s="8" t="n">
        <v>22</v>
      </c>
      <c r="B203" s="39" t="n">
        <f aca="false">EDATE(StartDate,A203-1)</f>
        <v>47027</v>
      </c>
      <c r="C203" s="24" t="str">
        <f aca="false">Monthly!$B$13</f>
        <v>EnergyWave, Inc.</v>
      </c>
      <c r="D203" s="24" t="str">
        <f aca="false">Monthly!$C$13</f>
        <v>Payroll</v>
      </c>
      <c r="E203" s="24" t="str">
        <f aca="false">Monthly!$D$13</f>
        <v>Salary &amp; load</v>
      </c>
      <c r="F203" s="24" t="str">
        <f aca="false">Monthly!$A$13</f>
        <v>Applied Physicist 4</v>
      </c>
      <c r="G203" s="20" t="n">
        <f aca="false">Monthly!AA$13</f>
        <v>15250</v>
      </c>
      <c r="H203" s="24" t="str">
        <f aca="false">ScenarioName</f>
        <v>Base</v>
      </c>
    </row>
    <row r="204" customFormat="false" ht="15" hidden="false" customHeight="false" outlineLevel="0" collapsed="false">
      <c r="A204" s="8" t="n">
        <v>23</v>
      </c>
      <c r="B204" s="39" t="n">
        <f aca="false">EDATE(StartDate,A204-1)</f>
        <v>47058</v>
      </c>
      <c r="C204" s="24" t="str">
        <f aca="false">Monthly!$B$13</f>
        <v>EnergyWave, Inc.</v>
      </c>
      <c r="D204" s="24" t="str">
        <f aca="false">Monthly!$C$13</f>
        <v>Payroll</v>
      </c>
      <c r="E204" s="24" t="str">
        <f aca="false">Monthly!$D$13</f>
        <v>Salary &amp; load</v>
      </c>
      <c r="F204" s="24" t="str">
        <f aca="false">Monthly!$A$13</f>
        <v>Applied Physicist 4</v>
      </c>
      <c r="G204" s="20" t="n">
        <f aca="false">Monthly!AB$13</f>
        <v>15250</v>
      </c>
      <c r="H204" s="24" t="str">
        <f aca="false">ScenarioName</f>
        <v>Base</v>
      </c>
    </row>
    <row r="205" customFormat="false" ht="15" hidden="false" customHeight="false" outlineLevel="0" collapsed="false">
      <c r="A205" s="8" t="n">
        <v>24</v>
      </c>
      <c r="B205" s="39" t="n">
        <f aca="false">EDATE(StartDate,A205-1)</f>
        <v>47088</v>
      </c>
      <c r="C205" s="24" t="str">
        <f aca="false">Monthly!$B$13</f>
        <v>EnergyWave, Inc.</v>
      </c>
      <c r="D205" s="24" t="str">
        <f aca="false">Monthly!$C$13</f>
        <v>Payroll</v>
      </c>
      <c r="E205" s="24" t="str">
        <f aca="false">Monthly!$D$13</f>
        <v>Salary &amp; load</v>
      </c>
      <c r="F205" s="24" t="str">
        <f aca="false">Monthly!$A$13</f>
        <v>Applied Physicist 4</v>
      </c>
      <c r="G205" s="20" t="n">
        <f aca="false">Monthly!AC$13</f>
        <v>15250</v>
      </c>
      <c r="H205" s="24" t="str">
        <f aca="false">ScenarioName</f>
        <v>Base</v>
      </c>
    </row>
    <row r="206" customFormat="false" ht="15" hidden="false" customHeight="false" outlineLevel="0" collapsed="false">
      <c r="A206" s="8" t="n">
        <v>25</v>
      </c>
      <c r="B206" s="39" t="n">
        <f aca="false">EDATE(StartDate,A206-1)</f>
        <v>47119</v>
      </c>
      <c r="C206" s="24" t="str">
        <f aca="false">Monthly!$B$13</f>
        <v>EnergyWave, Inc.</v>
      </c>
      <c r="D206" s="24" t="str">
        <f aca="false">Monthly!$C$13</f>
        <v>Payroll</v>
      </c>
      <c r="E206" s="24" t="str">
        <f aca="false">Monthly!$D$13</f>
        <v>Salary &amp; load</v>
      </c>
      <c r="F206" s="24" t="str">
        <f aca="false">Monthly!$A$13</f>
        <v>Applied Physicist 4</v>
      </c>
      <c r="G206" s="20" t="n">
        <f aca="false">Monthly!AD$13</f>
        <v>15250</v>
      </c>
      <c r="H206" s="24" t="str">
        <f aca="false">ScenarioName</f>
        <v>Base</v>
      </c>
    </row>
    <row r="207" customFormat="false" ht="15" hidden="false" customHeight="false" outlineLevel="0" collapsed="false">
      <c r="A207" s="8" t="n">
        <v>26</v>
      </c>
      <c r="B207" s="39" t="n">
        <f aca="false">EDATE(StartDate,A207-1)</f>
        <v>47150</v>
      </c>
      <c r="C207" s="24" t="str">
        <f aca="false">Monthly!$B$13</f>
        <v>EnergyWave, Inc.</v>
      </c>
      <c r="D207" s="24" t="str">
        <f aca="false">Monthly!$C$13</f>
        <v>Payroll</v>
      </c>
      <c r="E207" s="24" t="str">
        <f aca="false">Monthly!$D$13</f>
        <v>Salary &amp; load</v>
      </c>
      <c r="F207" s="24" t="str">
        <f aca="false">Monthly!$A$13</f>
        <v>Applied Physicist 4</v>
      </c>
      <c r="G207" s="20" t="n">
        <f aca="false">Monthly!AE$13</f>
        <v>15250</v>
      </c>
      <c r="H207" s="24" t="str">
        <f aca="false">ScenarioName</f>
        <v>Base</v>
      </c>
    </row>
    <row r="208" customFormat="false" ht="15" hidden="false" customHeight="false" outlineLevel="0" collapsed="false">
      <c r="A208" s="8" t="n">
        <v>27</v>
      </c>
      <c r="B208" s="39" t="n">
        <f aca="false">EDATE(StartDate,A208-1)</f>
        <v>47178</v>
      </c>
      <c r="C208" s="24" t="str">
        <f aca="false">Monthly!$B$13</f>
        <v>EnergyWave, Inc.</v>
      </c>
      <c r="D208" s="24" t="str">
        <f aca="false">Monthly!$C$13</f>
        <v>Payroll</v>
      </c>
      <c r="E208" s="24" t="str">
        <f aca="false">Monthly!$D$13</f>
        <v>Salary &amp; load</v>
      </c>
      <c r="F208" s="24" t="str">
        <f aca="false">Monthly!$A$13</f>
        <v>Applied Physicist 4</v>
      </c>
      <c r="G208" s="20" t="n">
        <f aca="false">Monthly!AF$13</f>
        <v>15250</v>
      </c>
      <c r="H208" s="24" t="str">
        <f aca="false">ScenarioName</f>
        <v>Base</v>
      </c>
    </row>
    <row r="209" customFormat="false" ht="15" hidden="false" customHeight="false" outlineLevel="0" collapsed="false">
      <c r="A209" s="8" t="n">
        <v>28</v>
      </c>
      <c r="B209" s="39" t="n">
        <f aca="false">EDATE(StartDate,A209-1)</f>
        <v>47209</v>
      </c>
      <c r="C209" s="24" t="str">
        <f aca="false">Monthly!$B$13</f>
        <v>EnergyWave, Inc.</v>
      </c>
      <c r="D209" s="24" t="str">
        <f aca="false">Monthly!$C$13</f>
        <v>Payroll</v>
      </c>
      <c r="E209" s="24" t="str">
        <f aca="false">Monthly!$D$13</f>
        <v>Salary &amp; load</v>
      </c>
      <c r="F209" s="24" t="str">
        <f aca="false">Monthly!$A$13</f>
        <v>Applied Physicist 4</v>
      </c>
      <c r="G209" s="20" t="n">
        <f aca="false">Monthly!AG$13</f>
        <v>15250</v>
      </c>
      <c r="H209" s="24" t="str">
        <f aca="false">ScenarioName</f>
        <v>Base</v>
      </c>
    </row>
    <row r="210" customFormat="false" ht="15" hidden="false" customHeight="false" outlineLevel="0" collapsed="false">
      <c r="A210" s="8" t="n">
        <v>29</v>
      </c>
      <c r="B210" s="39" t="n">
        <f aca="false">EDATE(StartDate,A210-1)</f>
        <v>47239</v>
      </c>
      <c r="C210" s="24" t="str">
        <f aca="false">Monthly!$B$13</f>
        <v>EnergyWave, Inc.</v>
      </c>
      <c r="D210" s="24" t="str">
        <f aca="false">Monthly!$C$13</f>
        <v>Payroll</v>
      </c>
      <c r="E210" s="24" t="str">
        <f aca="false">Monthly!$D$13</f>
        <v>Salary &amp; load</v>
      </c>
      <c r="F210" s="24" t="str">
        <f aca="false">Monthly!$A$13</f>
        <v>Applied Physicist 4</v>
      </c>
      <c r="G210" s="20" t="n">
        <f aca="false">Monthly!AH$13</f>
        <v>15250</v>
      </c>
      <c r="H210" s="24" t="str">
        <f aca="false">ScenarioName</f>
        <v>Base</v>
      </c>
    </row>
    <row r="211" customFormat="false" ht="15" hidden="false" customHeight="false" outlineLevel="0" collapsed="false">
      <c r="A211" s="8" t="n">
        <v>30</v>
      </c>
      <c r="B211" s="39" t="n">
        <f aca="false">EDATE(StartDate,A211-1)</f>
        <v>47270</v>
      </c>
      <c r="C211" s="24" t="str">
        <f aca="false">Monthly!$B$13</f>
        <v>EnergyWave, Inc.</v>
      </c>
      <c r="D211" s="24" t="str">
        <f aca="false">Monthly!$C$13</f>
        <v>Payroll</v>
      </c>
      <c r="E211" s="24" t="str">
        <f aca="false">Monthly!$D$13</f>
        <v>Salary &amp; load</v>
      </c>
      <c r="F211" s="24" t="str">
        <f aca="false">Monthly!$A$13</f>
        <v>Applied Physicist 4</v>
      </c>
      <c r="G211" s="20" t="n">
        <f aca="false">Monthly!AI$13</f>
        <v>15250</v>
      </c>
      <c r="H211" s="24" t="str">
        <f aca="false">ScenarioName</f>
        <v>Base</v>
      </c>
    </row>
    <row r="212" customFormat="false" ht="15" hidden="false" customHeight="false" outlineLevel="0" collapsed="false">
      <c r="A212" s="8" t="n">
        <v>31</v>
      </c>
      <c r="B212" s="39" t="n">
        <f aca="false">EDATE(StartDate,A212-1)</f>
        <v>47300</v>
      </c>
      <c r="C212" s="24" t="str">
        <f aca="false">Monthly!$B$13</f>
        <v>EnergyWave, Inc.</v>
      </c>
      <c r="D212" s="24" t="str">
        <f aca="false">Monthly!$C$13</f>
        <v>Payroll</v>
      </c>
      <c r="E212" s="24" t="str">
        <f aca="false">Monthly!$D$13</f>
        <v>Salary &amp; load</v>
      </c>
      <c r="F212" s="24" t="str">
        <f aca="false">Monthly!$A$13</f>
        <v>Applied Physicist 4</v>
      </c>
      <c r="G212" s="20" t="n">
        <f aca="false">Monthly!AJ$13</f>
        <v>15250</v>
      </c>
      <c r="H212" s="24" t="str">
        <f aca="false">ScenarioName</f>
        <v>Base</v>
      </c>
    </row>
    <row r="213" customFormat="false" ht="15" hidden="false" customHeight="false" outlineLevel="0" collapsed="false">
      <c r="A213" s="8" t="n">
        <v>32</v>
      </c>
      <c r="B213" s="39" t="n">
        <f aca="false">EDATE(StartDate,A213-1)</f>
        <v>47331</v>
      </c>
      <c r="C213" s="24" t="str">
        <f aca="false">Monthly!$B$13</f>
        <v>EnergyWave, Inc.</v>
      </c>
      <c r="D213" s="24" t="str">
        <f aca="false">Monthly!$C$13</f>
        <v>Payroll</v>
      </c>
      <c r="E213" s="24" t="str">
        <f aca="false">Monthly!$D$13</f>
        <v>Salary &amp; load</v>
      </c>
      <c r="F213" s="24" t="str">
        <f aca="false">Monthly!$A$13</f>
        <v>Applied Physicist 4</v>
      </c>
      <c r="G213" s="20" t="n">
        <f aca="false">Monthly!AK$13</f>
        <v>15250</v>
      </c>
      <c r="H213" s="24" t="str">
        <f aca="false">ScenarioName</f>
        <v>Base</v>
      </c>
    </row>
    <row r="214" customFormat="false" ht="15" hidden="false" customHeight="false" outlineLevel="0" collapsed="false">
      <c r="A214" s="8" t="n">
        <v>33</v>
      </c>
      <c r="B214" s="39" t="n">
        <f aca="false">EDATE(StartDate,A214-1)</f>
        <v>47362</v>
      </c>
      <c r="C214" s="24" t="str">
        <f aca="false">Monthly!$B$13</f>
        <v>EnergyWave, Inc.</v>
      </c>
      <c r="D214" s="24" t="str">
        <f aca="false">Monthly!$C$13</f>
        <v>Payroll</v>
      </c>
      <c r="E214" s="24" t="str">
        <f aca="false">Monthly!$D$13</f>
        <v>Salary &amp; load</v>
      </c>
      <c r="F214" s="24" t="str">
        <f aca="false">Monthly!$A$13</f>
        <v>Applied Physicist 4</v>
      </c>
      <c r="G214" s="20" t="n">
        <f aca="false">Monthly!AL$13</f>
        <v>15250</v>
      </c>
      <c r="H214" s="24" t="str">
        <f aca="false">ScenarioName</f>
        <v>Base</v>
      </c>
    </row>
    <row r="215" customFormat="false" ht="15" hidden="false" customHeight="false" outlineLevel="0" collapsed="false">
      <c r="A215" s="8" t="n">
        <v>34</v>
      </c>
      <c r="B215" s="39" t="n">
        <f aca="false">EDATE(StartDate,A215-1)</f>
        <v>47392</v>
      </c>
      <c r="C215" s="24" t="str">
        <f aca="false">Monthly!$B$13</f>
        <v>EnergyWave, Inc.</v>
      </c>
      <c r="D215" s="24" t="str">
        <f aca="false">Monthly!$C$13</f>
        <v>Payroll</v>
      </c>
      <c r="E215" s="24" t="str">
        <f aca="false">Monthly!$D$13</f>
        <v>Salary &amp; load</v>
      </c>
      <c r="F215" s="24" t="str">
        <f aca="false">Monthly!$A$13</f>
        <v>Applied Physicist 4</v>
      </c>
      <c r="G215" s="20" t="n">
        <f aca="false">Monthly!AM$13</f>
        <v>15250</v>
      </c>
      <c r="H215" s="24" t="str">
        <f aca="false">ScenarioName</f>
        <v>Base</v>
      </c>
    </row>
    <row r="216" customFormat="false" ht="15" hidden="false" customHeight="false" outlineLevel="0" collapsed="false">
      <c r="A216" s="8" t="n">
        <v>35</v>
      </c>
      <c r="B216" s="39" t="n">
        <f aca="false">EDATE(StartDate,A216-1)</f>
        <v>47423</v>
      </c>
      <c r="C216" s="24" t="str">
        <f aca="false">Monthly!$B$13</f>
        <v>EnergyWave, Inc.</v>
      </c>
      <c r="D216" s="24" t="str">
        <f aca="false">Monthly!$C$13</f>
        <v>Payroll</v>
      </c>
      <c r="E216" s="24" t="str">
        <f aca="false">Monthly!$D$13</f>
        <v>Salary &amp; load</v>
      </c>
      <c r="F216" s="24" t="str">
        <f aca="false">Monthly!$A$13</f>
        <v>Applied Physicist 4</v>
      </c>
      <c r="G216" s="20" t="n">
        <f aca="false">Monthly!AN$13</f>
        <v>15250</v>
      </c>
      <c r="H216" s="24" t="str">
        <f aca="false">ScenarioName</f>
        <v>Base</v>
      </c>
    </row>
    <row r="217" customFormat="false" ht="15" hidden="false" customHeight="false" outlineLevel="0" collapsed="false">
      <c r="A217" s="8" t="n">
        <v>36</v>
      </c>
      <c r="B217" s="39" t="n">
        <f aca="false">EDATE(StartDate,A217-1)</f>
        <v>47453</v>
      </c>
      <c r="C217" s="24" t="str">
        <f aca="false">Monthly!$B$13</f>
        <v>EnergyWave, Inc.</v>
      </c>
      <c r="D217" s="24" t="str">
        <f aca="false">Monthly!$C$13</f>
        <v>Payroll</v>
      </c>
      <c r="E217" s="24" t="str">
        <f aca="false">Monthly!$D$13</f>
        <v>Salary &amp; load</v>
      </c>
      <c r="F217" s="24" t="str">
        <f aca="false">Monthly!$A$13</f>
        <v>Applied Physicist 4</v>
      </c>
      <c r="G217" s="20" t="n">
        <f aca="false">Monthly!AO$13</f>
        <v>15250</v>
      </c>
      <c r="H217" s="24" t="str">
        <f aca="false">ScenarioName</f>
        <v>Base</v>
      </c>
    </row>
    <row r="218" customFormat="false" ht="15" hidden="false" customHeight="false" outlineLevel="0" collapsed="false">
      <c r="A218" s="8" t="n">
        <v>1</v>
      </c>
      <c r="B218" s="39" t="n">
        <f aca="false">EDATE(StartDate,A218-1)</f>
        <v>46388</v>
      </c>
      <c r="C218" s="24" t="str">
        <f aca="false">Monthly!$B$14</f>
        <v>EnergyWave, Inc.</v>
      </c>
      <c r="D218" s="24" t="str">
        <f aca="false">Monthly!$C$14</f>
        <v>Payroll</v>
      </c>
      <c r="E218" s="24" t="str">
        <f aca="false">Monthly!$D$14</f>
        <v>Salary &amp; load</v>
      </c>
      <c r="F218" s="24" t="str">
        <f aca="false">Monthly!$A$14</f>
        <v>Applied Physicist 5</v>
      </c>
      <c r="G218" s="20" t="n">
        <f aca="false">Monthly!F$14</f>
        <v>0</v>
      </c>
      <c r="H218" s="24" t="str">
        <f aca="false">ScenarioName</f>
        <v>Base</v>
      </c>
    </row>
    <row r="219" customFormat="false" ht="15" hidden="false" customHeight="false" outlineLevel="0" collapsed="false">
      <c r="A219" s="8" t="n">
        <v>2</v>
      </c>
      <c r="B219" s="39" t="n">
        <f aca="false">EDATE(StartDate,A219-1)</f>
        <v>46419</v>
      </c>
      <c r="C219" s="24" t="str">
        <f aca="false">Monthly!$B$14</f>
        <v>EnergyWave, Inc.</v>
      </c>
      <c r="D219" s="24" t="str">
        <f aca="false">Monthly!$C$14</f>
        <v>Payroll</v>
      </c>
      <c r="E219" s="24" t="str">
        <f aca="false">Monthly!$D$14</f>
        <v>Salary &amp; load</v>
      </c>
      <c r="F219" s="24" t="str">
        <f aca="false">Monthly!$A$14</f>
        <v>Applied Physicist 5</v>
      </c>
      <c r="G219" s="20" t="n">
        <f aca="false">Monthly!G$14</f>
        <v>0</v>
      </c>
      <c r="H219" s="24" t="str">
        <f aca="false">ScenarioName</f>
        <v>Base</v>
      </c>
    </row>
    <row r="220" customFormat="false" ht="15" hidden="false" customHeight="false" outlineLevel="0" collapsed="false">
      <c r="A220" s="8" t="n">
        <v>3</v>
      </c>
      <c r="B220" s="39" t="n">
        <f aca="false">EDATE(StartDate,A220-1)</f>
        <v>46447</v>
      </c>
      <c r="C220" s="24" t="str">
        <f aca="false">Monthly!$B$14</f>
        <v>EnergyWave, Inc.</v>
      </c>
      <c r="D220" s="24" t="str">
        <f aca="false">Monthly!$C$14</f>
        <v>Payroll</v>
      </c>
      <c r="E220" s="24" t="str">
        <f aca="false">Monthly!$D$14</f>
        <v>Salary &amp; load</v>
      </c>
      <c r="F220" s="24" t="str">
        <f aca="false">Monthly!$A$14</f>
        <v>Applied Physicist 5</v>
      </c>
      <c r="G220" s="20" t="n">
        <f aca="false">Monthly!H$14</f>
        <v>0</v>
      </c>
      <c r="H220" s="24" t="str">
        <f aca="false">ScenarioName</f>
        <v>Base</v>
      </c>
    </row>
    <row r="221" customFormat="false" ht="15" hidden="false" customHeight="false" outlineLevel="0" collapsed="false">
      <c r="A221" s="8" t="n">
        <v>4</v>
      </c>
      <c r="B221" s="39" t="n">
        <f aca="false">EDATE(StartDate,A221-1)</f>
        <v>46478</v>
      </c>
      <c r="C221" s="24" t="str">
        <f aca="false">Monthly!$B$14</f>
        <v>EnergyWave, Inc.</v>
      </c>
      <c r="D221" s="24" t="str">
        <f aca="false">Monthly!$C$14</f>
        <v>Payroll</v>
      </c>
      <c r="E221" s="24" t="str">
        <f aca="false">Monthly!$D$14</f>
        <v>Salary &amp; load</v>
      </c>
      <c r="F221" s="24" t="str">
        <f aca="false">Monthly!$A$14</f>
        <v>Applied Physicist 5</v>
      </c>
      <c r="G221" s="20" t="n">
        <f aca="false">Monthly!I$14</f>
        <v>0</v>
      </c>
      <c r="H221" s="24" t="str">
        <f aca="false">ScenarioName</f>
        <v>Base</v>
      </c>
    </row>
    <row r="222" customFormat="false" ht="15" hidden="false" customHeight="false" outlineLevel="0" collapsed="false">
      <c r="A222" s="8" t="n">
        <v>5</v>
      </c>
      <c r="B222" s="39" t="n">
        <f aca="false">EDATE(StartDate,A222-1)</f>
        <v>46508</v>
      </c>
      <c r="C222" s="24" t="str">
        <f aca="false">Monthly!$B$14</f>
        <v>EnergyWave, Inc.</v>
      </c>
      <c r="D222" s="24" t="str">
        <f aca="false">Monthly!$C$14</f>
        <v>Payroll</v>
      </c>
      <c r="E222" s="24" t="str">
        <f aca="false">Monthly!$D$14</f>
        <v>Salary &amp; load</v>
      </c>
      <c r="F222" s="24" t="str">
        <f aca="false">Monthly!$A$14</f>
        <v>Applied Physicist 5</v>
      </c>
      <c r="G222" s="20" t="n">
        <f aca="false">Monthly!J$14</f>
        <v>15250</v>
      </c>
      <c r="H222" s="24" t="str">
        <f aca="false">ScenarioName</f>
        <v>Base</v>
      </c>
    </row>
    <row r="223" customFormat="false" ht="15" hidden="false" customHeight="false" outlineLevel="0" collapsed="false">
      <c r="A223" s="8" t="n">
        <v>6</v>
      </c>
      <c r="B223" s="39" t="n">
        <f aca="false">EDATE(StartDate,A223-1)</f>
        <v>46539</v>
      </c>
      <c r="C223" s="24" t="str">
        <f aca="false">Monthly!$B$14</f>
        <v>EnergyWave, Inc.</v>
      </c>
      <c r="D223" s="24" t="str">
        <f aca="false">Monthly!$C$14</f>
        <v>Payroll</v>
      </c>
      <c r="E223" s="24" t="str">
        <f aca="false">Monthly!$D$14</f>
        <v>Salary &amp; load</v>
      </c>
      <c r="F223" s="24" t="str">
        <f aca="false">Monthly!$A$14</f>
        <v>Applied Physicist 5</v>
      </c>
      <c r="G223" s="20" t="n">
        <f aca="false">Monthly!K$14</f>
        <v>15250</v>
      </c>
      <c r="H223" s="24" t="str">
        <f aca="false">ScenarioName</f>
        <v>Base</v>
      </c>
    </row>
    <row r="224" customFormat="false" ht="15" hidden="false" customHeight="false" outlineLevel="0" collapsed="false">
      <c r="A224" s="8" t="n">
        <v>7</v>
      </c>
      <c r="B224" s="39" t="n">
        <f aca="false">EDATE(StartDate,A224-1)</f>
        <v>46569</v>
      </c>
      <c r="C224" s="24" t="str">
        <f aca="false">Monthly!$B$14</f>
        <v>EnergyWave, Inc.</v>
      </c>
      <c r="D224" s="24" t="str">
        <f aca="false">Monthly!$C$14</f>
        <v>Payroll</v>
      </c>
      <c r="E224" s="24" t="str">
        <f aca="false">Monthly!$D$14</f>
        <v>Salary &amp; load</v>
      </c>
      <c r="F224" s="24" t="str">
        <f aca="false">Monthly!$A$14</f>
        <v>Applied Physicist 5</v>
      </c>
      <c r="G224" s="20" t="n">
        <f aca="false">Monthly!L$14</f>
        <v>15250</v>
      </c>
      <c r="H224" s="24" t="str">
        <f aca="false">ScenarioName</f>
        <v>Base</v>
      </c>
    </row>
    <row r="225" customFormat="false" ht="15" hidden="false" customHeight="false" outlineLevel="0" collapsed="false">
      <c r="A225" s="8" t="n">
        <v>8</v>
      </c>
      <c r="B225" s="39" t="n">
        <f aca="false">EDATE(StartDate,A225-1)</f>
        <v>46600</v>
      </c>
      <c r="C225" s="24" t="str">
        <f aca="false">Monthly!$B$14</f>
        <v>EnergyWave, Inc.</v>
      </c>
      <c r="D225" s="24" t="str">
        <f aca="false">Monthly!$C$14</f>
        <v>Payroll</v>
      </c>
      <c r="E225" s="24" t="str">
        <f aca="false">Monthly!$D$14</f>
        <v>Salary &amp; load</v>
      </c>
      <c r="F225" s="24" t="str">
        <f aca="false">Monthly!$A$14</f>
        <v>Applied Physicist 5</v>
      </c>
      <c r="G225" s="20" t="n">
        <f aca="false">Monthly!M$14</f>
        <v>15250</v>
      </c>
      <c r="H225" s="24" t="str">
        <f aca="false">ScenarioName</f>
        <v>Base</v>
      </c>
    </row>
    <row r="226" customFormat="false" ht="15" hidden="false" customHeight="false" outlineLevel="0" collapsed="false">
      <c r="A226" s="8" t="n">
        <v>9</v>
      </c>
      <c r="B226" s="39" t="n">
        <f aca="false">EDATE(StartDate,A226-1)</f>
        <v>46631</v>
      </c>
      <c r="C226" s="24" t="str">
        <f aca="false">Monthly!$B$14</f>
        <v>EnergyWave, Inc.</v>
      </c>
      <c r="D226" s="24" t="str">
        <f aca="false">Monthly!$C$14</f>
        <v>Payroll</v>
      </c>
      <c r="E226" s="24" t="str">
        <f aca="false">Monthly!$D$14</f>
        <v>Salary &amp; load</v>
      </c>
      <c r="F226" s="24" t="str">
        <f aca="false">Monthly!$A$14</f>
        <v>Applied Physicist 5</v>
      </c>
      <c r="G226" s="20" t="n">
        <f aca="false">Monthly!N$14</f>
        <v>15250</v>
      </c>
      <c r="H226" s="24" t="str">
        <f aca="false">ScenarioName</f>
        <v>Base</v>
      </c>
    </row>
    <row r="227" customFormat="false" ht="15" hidden="false" customHeight="false" outlineLevel="0" collapsed="false">
      <c r="A227" s="8" t="n">
        <v>10</v>
      </c>
      <c r="B227" s="39" t="n">
        <f aca="false">EDATE(StartDate,A227-1)</f>
        <v>46661</v>
      </c>
      <c r="C227" s="24" t="str">
        <f aca="false">Monthly!$B$14</f>
        <v>EnergyWave, Inc.</v>
      </c>
      <c r="D227" s="24" t="str">
        <f aca="false">Monthly!$C$14</f>
        <v>Payroll</v>
      </c>
      <c r="E227" s="24" t="str">
        <f aca="false">Monthly!$D$14</f>
        <v>Salary &amp; load</v>
      </c>
      <c r="F227" s="24" t="str">
        <f aca="false">Monthly!$A$14</f>
        <v>Applied Physicist 5</v>
      </c>
      <c r="G227" s="20" t="n">
        <f aca="false">Monthly!O$14</f>
        <v>15250</v>
      </c>
      <c r="H227" s="24" t="str">
        <f aca="false">ScenarioName</f>
        <v>Base</v>
      </c>
    </row>
    <row r="228" customFormat="false" ht="15" hidden="false" customHeight="false" outlineLevel="0" collapsed="false">
      <c r="A228" s="8" t="n">
        <v>11</v>
      </c>
      <c r="B228" s="39" t="n">
        <f aca="false">EDATE(StartDate,A228-1)</f>
        <v>46692</v>
      </c>
      <c r="C228" s="24" t="str">
        <f aca="false">Monthly!$B$14</f>
        <v>EnergyWave, Inc.</v>
      </c>
      <c r="D228" s="24" t="str">
        <f aca="false">Monthly!$C$14</f>
        <v>Payroll</v>
      </c>
      <c r="E228" s="24" t="str">
        <f aca="false">Monthly!$D$14</f>
        <v>Salary &amp; load</v>
      </c>
      <c r="F228" s="24" t="str">
        <f aca="false">Monthly!$A$14</f>
        <v>Applied Physicist 5</v>
      </c>
      <c r="G228" s="20" t="n">
        <f aca="false">Monthly!P$14</f>
        <v>15250</v>
      </c>
      <c r="H228" s="24" t="str">
        <f aca="false">ScenarioName</f>
        <v>Base</v>
      </c>
    </row>
    <row r="229" customFormat="false" ht="15" hidden="false" customHeight="false" outlineLevel="0" collapsed="false">
      <c r="A229" s="8" t="n">
        <v>12</v>
      </c>
      <c r="B229" s="39" t="n">
        <f aca="false">EDATE(StartDate,A229-1)</f>
        <v>46722</v>
      </c>
      <c r="C229" s="24" t="str">
        <f aca="false">Monthly!$B$14</f>
        <v>EnergyWave, Inc.</v>
      </c>
      <c r="D229" s="24" t="str">
        <f aca="false">Monthly!$C$14</f>
        <v>Payroll</v>
      </c>
      <c r="E229" s="24" t="str">
        <f aca="false">Monthly!$D$14</f>
        <v>Salary &amp; load</v>
      </c>
      <c r="F229" s="24" t="str">
        <f aca="false">Monthly!$A$14</f>
        <v>Applied Physicist 5</v>
      </c>
      <c r="G229" s="20" t="n">
        <f aca="false">Monthly!Q$14</f>
        <v>15250</v>
      </c>
      <c r="H229" s="24" t="str">
        <f aca="false">ScenarioName</f>
        <v>Base</v>
      </c>
    </row>
    <row r="230" customFormat="false" ht="15" hidden="false" customHeight="false" outlineLevel="0" collapsed="false">
      <c r="A230" s="8" t="n">
        <v>13</v>
      </c>
      <c r="B230" s="39" t="n">
        <f aca="false">EDATE(StartDate,A230-1)</f>
        <v>46753</v>
      </c>
      <c r="C230" s="24" t="str">
        <f aca="false">Monthly!$B$14</f>
        <v>EnergyWave, Inc.</v>
      </c>
      <c r="D230" s="24" t="str">
        <f aca="false">Monthly!$C$14</f>
        <v>Payroll</v>
      </c>
      <c r="E230" s="24" t="str">
        <f aca="false">Monthly!$D$14</f>
        <v>Salary &amp; load</v>
      </c>
      <c r="F230" s="24" t="str">
        <f aca="false">Monthly!$A$14</f>
        <v>Applied Physicist 5</v>
      </c>
      <c r="G230" s="20" t="n">
        <f aca="false">Monthly!R$14</f>
        <v>15250</v>
      </c>
      <c r="H230" s="24" t="str">
        <f aca="false">ScenarioName</f>
        <v>Base</v>
      </c>
    </row>
    <row r="231" customFormat="false" ht="15" hidden="false" customHeight="false" outlineLevel="0" collapsed="false">
      <c r="A231" s="8" t="n">
        <v>14</v>
      </c>
      <c r="B231" s="39" t="n">
        <f aca="false">EDATE(StartDate,A231-1)</f>
        <v>46784</v>
      </c>
      <c r="C231" s="24" t="str">
        <f aca="false">Monthly!$B$14</f>
        <v>EnergyWave, Inc.</v>
      </c>
      <c r="D231" s="24" t="str">
        <f aca="false">Monthly!$C$14</f>
        <v>Payroll</v>
      </c>
      <c r="E231" s="24" t="str">
        <f aca="false">Monthly!$D$14</f>
        <v>Salary &amp; load</v>
      </c>
      <c r="F231" s="24" t="str">
        <f aca="false">Monthly!$A$14</f>
        <v>Applied Physicist 5</v>
      </c>
      <c r="G231" s="20" t="n">
        <f aca="false">Monthly!S$14</f>
        <v>15250</v>
      </c>
      <c r="H231" s="24" t="str">
        <f aca="false">ScenarioName</f>
        <v>Base</v>
      </c>
    </row>
    <row r="232" customFormat="false" ht="15" hidden="false" customHeight="false" outlineLevel="0" collapsed="false">
      <c r="A232" s="8" t="n">
        <v>15</v>
      </c>
      <c r="B232" s="39" t="n">
        <f aca="false">EDATE(StartDate,A232-1)</f>
        <v>46813</v>
      </c>
      <c r="C232" s="24" t="str">
        <f aca="false">Monthly!$B$14</f>
        <v>EnergyWave, Inc.</v>
      </c>
      <c r="D232" s="24" t="str">
        <f aca="false">Monthly!$C$14</f>
        <v>Payroll</v>
      </c>
      <c r="E232" s="24" t="str">
        <f aca="false">Monthly!$D$14</f>
        <v>Salary &amp; load</v>
      </c>
      <c r="F232" s="24" t="str">
        <f aca="false">Monthly!$A$14</f>
        <v>Applied Physicist 5</v>
      </c>
      <c r="G232" s="20" t="n">
        <f aca="false">Monthly!T$14</f>
        <v>15250</v>
      </c>
      <c r="H232" s="24" t="str">
        <f aca="false">ScenarioName</f>
        <v>Base</v>
      </c>
    </row>
    <row r="233" customFormat="false" ht="15" hidden="false" customHeight="false" outlineLevel="0" collapsed="false">
      <c r="A233" s="8" t="n">
        <v>16</v>
      </c>
      <c r="B233" s="39" t="n">
        <f aca="false">EDATE(StartDate,A233-1)</f>
        <v>46844</v>
      </c>
      <c r="C233" s="24" t="str">
        <f aca="false">Monthly!$B$14</f>
        <v>EnergyWave, Inc.</v>
      </c>
      <c r="D233" s="24" t="str">
        <f aca="false">Monthly!$C$14</f>
        <v>Payroll</v>
      </c>
      <c r="E233" s="24" t="str">
        <f aca="false">Monthly!$D$14</f>
        <v>Salary &amp; load</v>
      </c>
      <c r="F233" s="24" t="str">
        <f aca="false">Monthly!$A$14</f>
        <v>Applied Physicist 5</v>
      </c>
      <c r="G233" s="20" t="n">
        <f aca="false">Monthly!U$14</f>
        <v>15250</v>
      </c>
      <c r="H233" s="24" t="str">
        <f aca="false">ScenarioName</f>
        <v>Base</v>
      </c>
    </row>
    <row r="234" customFormat="false" ht="15" hidden="false" customHeight="false" outlineLevel="0" collapsed="false">
      <c r="A234" s="8" t="n">
        <v>17</v>
      </c>
      <c r="B234" s="39" t="n">
        <f aca="false">EDATE(StartDate,A234-1)</f>
        <v>46874</v>
      </c>
      <c r="C234" s="24" t="str">
        <f aca="false">Monthly!$B$14</f>
        <v>EnergyWave, Inc.</v>
      </c>
      <c r="D234" s="24" t="str">
        <f aca="false">Monthly!$C$14</f>
        <v>Payroll</v>
      </c>
      <c r="E234" s="24" t="str">
        <f aca="false">Monthly!$D$14</f>
        <v>Salary &amp; load</v>
      </c>
      <c r="F234" s="24" t="str">
        <f aca="false">Monthly!$A$14</f>
        <v>Applied Physicist 5</v>
      </c>
      <c r="G234" s="20" t="n">
        <f aca="false">Monthly!V$14</f>
        <v>15250</v>
      </c>
      <c r="H234" s="24" t="str">
        <f aca="false">ScenarioName</f>
        <v>Base</v>
      </c>
    </row>
    <row r="235" customFormat="false" ht="15" hidden="false" customHeight="false" outlineLevel="0" collapsed="false">
      <c r="A235" s="8" t="n">
        <v>18</v>
      </c>
      <c r="B235" s="39" t="n">
        <f aca="false">EDATE(StartDate,A235-1)</f>
        <v>46905</v>
      </c>
      <c r="C235" s="24" t="str">
        <f aca="false">Monthly!$B$14</f>
        <v>EnergyWave, Inc.</v>
      </c>
      <c r="D235" s="24" t="str">
        <f aca="false">Monthly!$C$14</f>
        <v>Payroll</v>
      </c>
      <c r="E235" s="24" t="str">
        <f aca="false">Monthly!$D$14</f>
        <v>Salary &amp; load</v>
      </c>
      <c r="F235" s="24" t="str">
        <f aca="false">Monthly!$A$14</f>
        <v>Applied Physicist 5</v>
      </c>
      <c r="G235" s="20" t="n">
        <f aca="false">Monthly!W$14</f>
        <v>15250</v>
      </c>
      <c r="H235" s="24" t="str">
        <f aca="false">ScenarioName</f>
        <v>Base</v>
      </c>
    </row>
    <row r="236" customFormat="false" ht="15" hidden="false" customHeight="false" outlineLevel="0" collapsed="false">
      <c r="A236" s="8" t="n">
        <v>19</v>
      </c>
      <c r="B236" s="39" t="n">
        <f aca="false">EDATE(StartDate,A236-1)</f>
        <v>46935</v>
      </c>
      <c r="C236" s="24" t="str">
        <f aca="false">Monthly!$B$14</f>
        <v>EnergyWave, Inc.</v>
      </c>
      <c r="D236" s="24" t="str">
        <f aca="false">Monthly!$C$14</f>
        <v>Payroll</v>
      </c>
      <c r="E236" s="24" t="str">
        <f aca="false">Monthly!$D$14</f>
        <v>Salary &amp; load</v>
      </c>
      <c r="F236" s="24" t="str">
        <f aca="false">Monthly!$A$14</f>
        <v>Applied Physicist 5</v>
      </c>
      <c r="G236" s="20" t="n">
        <f aca="false">Monthly!X$14</f>
        <v>15250</v>
      </c>
      <c r="H236" s="24" t="str">
        <f aca="false">ScenarioName</f>
        <v>Base</v>
      </c>
    </row>
    <row r="237" customFormat="false" ht="15" hidden="false" customHeight="false" outlineLevel="0" collapsed="false">
      <c r="A237" s="8" t="n">
        <v>20</v>
      </c>
      <c r="B237" s="39" t="n">
        <f aca="false">EDATE(StartDate,A237-1)</f>
        <v>46966</v>
      </c>
      <c r="C237" s="24" t="str">
        <f aca="false">Monthly!$B$14</f>
        <v>EnergyWave, Inc.</v>
      </c>
      <c r="D237" s="24" t="str">
        <f aca="false">Monthly!$C$14</f>
        <v>Payroll</v>
      </c>
      <c r="E237" s="24" t="str">
        <f aca="false">Monthly!$D$14</f>
        <v>Salary &amp; load</v>
      </c>
      <c r="F237" s="24" t="str">
        <f aca="false">Monthly!$A$14</f>
        <v>Applied Physicist 5</v>
      </c>
      <c r="G237" s="20" t="n">
        <f aca="false">Monthly!Y$14</f>
        <v>15250</v>
      </c>
      <c r="H237" s="24" t="str">
        <f aca="false">ScenarioName</f>
        <v>Base</v>
      </c>
    </row>
    <row r="238" customFormat="false" ht="15" hidden="false" customHeight="false" outlineLevel="0" collapsed="false">
      <c r="A238" s="8" t="n">
        <v>21</v>
      </c>
      <c r="B238" s="39" t="n">
        <f aca="false">EDATE(StartDate,A238-1)</f>
        <v>46997</v>
      </c>
      <c r="C238" s="24" t="str">
        <f aca="false">Monthly!$B$14</f>
        <v>EnergyWave, Inc.</v>
      </c>
      <c r="D238" s="24" t="str">
        <f aca="false">Monthly!$C$14</f>
        <v>Payroll</v>
      </c>
      <c r="E238" s="24" t="str">
        <f aca="false">Monthly!$D$14</f>
        <v>Salary &amp; load</v>
      </c>
      <c r="F238" s="24" t="str">
        <f aca="false">Monthly!$A$14</f>
        <v>Applied Physicist 5</v>
      </c>
      <c r="G238" s="20" t="n">
        <f aca="false">Monthly!Z$14</f>
        <v>15250</v>
      </c>
      <c r="H238" s="24" t="str">
        <f aca="false">ScenarioName</f>
        <v>Base</v>
      </c>
    </row>
    <row r="239" customFormat="false" ht="15" hidden="false" customHeight="false" outlineLevel="0" collapsed="false">
      <c r="A239" s="8" t="n">
        <v>22</v>
      </c>
      <c r="B239" s="39" t="n">
        <f aca="false">EDATE(StartDate,A239-1)</f>
        <v>47027</v>
      </c>
      <c r="C239" s="24" t="str">
        <f aca="false">Monthly!$B$14</f>
        <v>EnergyWave, Inc.</v>
      </c>
      <c r="D239" s="24" t="str">
        <f aca="false">Monthly!$C$14</f>
        <v>Payroll</v>
      </c>
      <c r="E239" s="24" t="str">
        <f aca="false">Monthly!$D$14</f>
        <v>Salary &amp; load</v>
      </c>
      <c r="F239" s="24" t="str">
        <f aca="false">Monthly!$A$14</f>
        <v>Applied Physicist 5</v>
      </c>
      <c r="G239" s="20" t="n">
        <f aca="false">Monthly!AA$14</f>
        <v>15250</v>
      </c>
      <c r="H239" s="24" t="str">
        <f aca="false">ScenarioName</f>
        <v>Base</v>
      </c>
    </row>
    <row r="240" customFormat="false" ht="15" hidden="false" customHeight="false" outlineLevel="0" collapsed="false">
      <c r="A240" s="8" t="n">
        <v>23</v>
      </c>
      <c r="B240" s="39" t="n">
        <f aca="false">EDATE(StartDate,A240-1)</f>
        <v>47058</v>
      </c>
      <c r="C240" s="24" t="str">
        <f aca="false">Monthly!$B$14</f>
        <v>EnergyWave, Inc.</v>
      </c>
      <c r="D240" s="24" t="str">
        <f aca="false">Monthly!$C$14</f>
        <v>Payroll</v>
      </c>
      <c r="E240" s="24" t="str">
        <f aca="false">Monthly!$D$14</f>
        <v>Salary &amp; load</v>
      </c>
      <c r="F240" s="24" t="str">
        <f aca="false">Monthly!$A$14</f>
        <v>Applied Physicist 5</v>
      </c>
      <c r="G240" s="20" t="n">
        <f aca="false">Monthly!AB$14</f>
        <v>15250</v>
      </c>
      <c r="H240" s="24" t="str">
        <f aca="false">ScenarioName</f>
        <v>Base</v>
      </c>
    </row>
    <row r="241" customFormat="false" ht="15" hidden="false" customHeight="false" outlineLevel="0" collapsed="false">
      <c r="A241" s="8" t="n">
        <v>24</v>
      </c>
      <c r="B241" s="39" t="n">
        <f aca="false">EDATE(StartDate,A241-1)</f>
        <v>47088</v>
      </c>
      <c r="C241" s="24" t="str">
        <f aca="false">Monthly!$B$14</f>
        <v>EnergyWave, Inc.</v>
      </c>
      <c r="D241" s="24" t="str">
        <f aca="false">Monthly!$C$14</f>
        <v>Payroll</v>
      </c>
      <c r="E241" s="24" t="str">
        <f aca="false">Monthly!$D$14</f>
        <v>Salary &amp; load</v>
      </c>
      <c r="F241" s="24" t="str">
        <f aca="false">Monthly!$A$14</f>
        <v>Applied Physicist 5</v>
      </c>
      <c r="G241" s="20" t="n">
        <f aca="false">Monthly!AC$14</f>
        <v>15250</v>
      </c>
      <c r="H241" s="24" t="str">
        <f aca="false">ScenarioName</f>
        <v>Base</v>
      </c>
    </row>
    <row r="242" customFormat="false" ht="15" hidden="false" customHeight="false" outlineLevel="0" collapsed="false">
      <c r="A242" s="8" t="n">
        <v>25</v>
      </c>
      <c r="B242" s="39" t="n">
        <f aca="false">EDATE(StartDate,A242-1)</f>
        <v>47119</v>
      </c>
      <c r="C242" s="24" t="str">
        <f aca="false">Monthly!$B$14</f>
        <v>EnergyWave, Inc.</v>
      </c>
      <c r="D242" s="24" t="str">
        <f aca="false">Monthly!$C$14</f>
        <v>Payroll</v>
      </c>
      <c r="E242" s="24" t="str">
        <f aca="false">Monthly!$D$14</f>
        <v>Salary &amp; load</v>
      </c>
      <c r="F242" s="24" t="str">
        <f aca="false">Monthly!$A$14</f>
        <v>Applied Physicist 5</v>
      </c>
      <c r="G242" s="20" t="n">
        <f aca="false">Monthly!AD$14</f>
        <v>15250</v>
      </c>
      <c r="H242" s="24" t="str">
        <f aca="false">ScenarioName</f>
        <v>Base</v>
      </c>
    </row>
    <row r="243" customFormat="false" ht="15" hidden="false" customHeight="false" outlineLevel="0" collapsed="false">
      <c r="A243" s="8" t="n">
        <v>26</v>
      </c>
      <c r="B243" s="39" t="n">
        <f aca="false">EDATE(StartDate,A243-1)</f>
        <v>47150</v>
      </c>
      <c r="C243" s="24" t="str">
        <f aca="false">Monthly!$B$14</f>
        <v>EnergyWave, Inc.</v>
      </c>
      <c r="D243" s="24" t="str">
        <f aca="false">Monthly!$C$14</f>
        <v>Payroll</v>
      </c>
      <c r="E243" s="24" t="str">
        <f aca="false">Monthly!$D$14</f>
        <v>Salary &amp; load</v>
      </c>
      <c r="F243" s="24" t="str">
        <f aca="false">Monthly!$A$14</f>
        <v>Applied Physicist 5</v>
      </c>
      <c r="G243" s="20" t="n">
        <f aca="false">Monthly!AE$14</f>
        <v>15250</v>
      </c>
      <c r="H243" s="24" t="str">
        <f aca="false">ScenarioName</f>
        <v>Base</v>
      </c>
    </row>
    <row r="244" customFormat="false" ht="15" hidden="false" customHeight="false" outlineLevel="0" collapsed="false">
      <c r="A244" s="8" t="n">
        <v>27</v>
      </c>
      <c r="B244" s="39" t="n">
        <f aca="false">EDATE(StartDate,A244-1)</f>
        <v>47178</v>
      </c>
      <c r="C244" s="24" t="str">
        <f aca="false">Monthly!$B$14</f>
        <v>EnergyWave, Inc.</v>
      </c>
      <c r="D244" s="24" t="str">
        <f aca="false">Monthly!$C$14</f>
        <v>Payroll</v>
      </c>
      <c r="E244" s="24" t="str">
        <f aca="false">Monthly!$D$14</f>
        <v>Salary &amp; load</v>
      </c>
      <c r="F244" s="24" t="str">
        <f aca="false">Monthly!$A$14</f>
        <v>Applied Physicist 5</v>
      </c>
      <c r="G244" s="20" t="n">
        <f aca="false">Monthly!AF$14</f>
        <v>15250</v>
      </c>
      <c r="H244" s="24" t="str">
        <f aca="false">ScenarioName</f>
        <v>Base</v>
      </c>
    </row>
    <row r="245" customFormat="false" ht="15" hidden="false" customHeight="false" outlineLevel="0" collapsed="false">
      <c r="A245" s="8" t="n">
        <v>28</v>
      </c>
      <c r="B245" s="39" t="n">
        <f aca="false">EDATE(StartDate,A245-1)</f>
        <v>47209</v>
      </c>
      <c r="C245" s="24" t="str">
        <f aca="false">Monthly!$B$14</f>
        <v>EnergyWave, Inc.</v>
      </c>
      <c r="D245" s="24" t="str">
        <f aca="false">Monthly!$C$14</f>
        <v>Payroll</v>
      </c>
      <c r="E245" s="24" t="str">
        <f aca="false">Monthly!$D$14</f>
        <v>Salary &amp; load</v>
      </c>
      <c r="F245" s="24" t="str">
        <f aca="false">Monthly!$A$14</f>
        <v>Applied Physicist 5</v>
      </c>
      <c r="G245" s="20" t="n">
        <f aca="false">Monthly!AG$14</f>
        <v>15250</v>
      </c>
      <c r="H245" s="24" t="str">
        <f aca="false">ScenarioName</f>
        <v>Base</v>
      </c>
    </row>
    <row r="246" customFormat="false" ht="15" hidden="false" customHeight="false" outlineLevel="0" collapsed="false">
      <c r="A246" s="8" t="n">
        <v>29</v>
      </c>
      <c r="B246" s="39" t="n">
        <f aca="false">EDATE(StartDate,A246-1)</f>
        <v>47239</v>
      </c>
      <c r="C246" s="24" t="str">
        <f aca="false">Monthly!$B$14</f>
        <v>EnergyWave, Inc.</v>
      </c>
      <c r="D246" s="24" t="str">
        <f aca="false">Monthly!$C$14</f>
        <v>Payroll</v>
      </c>
      <c r="E246" s="24" t="str">
        <f aca="false">Monthly!$D$14</f>
        <v>Salary &amp; load</v>
      </c>
      <c r="F246" s="24" t="str">
        <f aca="false">Monthly!$A$14</f>
        <v>Applied Physicist 5</v>
      </c>
      <c r="G246" s="20" t="n">
        <f aca="false">Monthly!AH$14</f>
        <v>15250</v>
      </c>
      <c r="H246" s="24" t="str">
        <f aca="false">ScenarioName</f>
        <v>Base</v>
      </c>
    </row>
    <row r="247" customFormat="false" ht="15" hidden="false" customHeight="false" outlineLevel="0" collapsed="false">
      <c r="A247" s="8" t="n">
        <v>30</v>
      </c>
      <c r="B247" s="39" t="n">
        <f aca="false">EDATE(StartDate,A247-1)</f>
        <v>47270</v>
      </c>
      <c r="C247" s="24" t="str">
        <f aca="false">Monthly!$B$14</f>
        <v>EnergyWave, Inc.</v>
      </c>
      <c r="D247" s="24" t="str">
        <f aca="false">Monthly!$C$14</f>
        <v>Payroll</v>
      </c>
      <c r="E247" s="24" t="str">
        <f aca="false">Monthly!$D$14</f>
        <v>Salary &amp; load</v>
      </c>
      <c r="F247" s="24" t="str">
        <f aca="false">Monthly!$A$14</f>
        <v>Applied Physicist 5</v>
      </c>
      <c r="G247" s="20" t="n">
        <f aca="false">Monthly!AI$14</f>
        <v>15250</v>
      </c>
      <c r="H247" s="24" t="str">
        <f aca="false">ScenarioName</f>
        <v>Base</v>
      </c>
    </row>
    <row r="248" customFormat="false" ht="15" hidden="false" customHeight="false" outlineLevel="0" collapsed="false">
      <c r="A248" s="8" t="n">
        <v>31</v>
      </c>
      <c r="B248" s="39" t="n">
        <f aca="false">EDATE(StartDate,A248-1)</f>
        <v>47300</v>
      </c>
      <c r="C248" s="24" t="str">
        <f aca="false">Monthly!$B$14</f>
        <v>EnergyWave, Inc.</v>
      </c>
      <c r="D248" s="24" t="str">
        <f aca="false">Monthly!$C$14</f>
        <v>Payroll</v>
      </c>
      <c r="E248" s="24" t="str">
        <f aca="false">Monthly!$D$14</f>
        <v>Salary &amp; load</v>
      </c>
      <c r="F248" s="24" t="str">
        <f aca="false">Monthly!$A$14</f>
        <v>Applied Physicist 5</v>
      </c>
      <c r="G248" s="20" t="n">
        <f aca="false">Monthly!AJ$14</f>
        <v>15250</v>
      </c>
      <c r="H248" s="24" t="str">
        <f aca="false">ScenarioName</f>
        <v>Base</v>
      </c>
    </row>
    <row r="249" customFormat="false" ht="15" hidden="false" customHeight="false" outlineLevel="0" collapsed="false">
      <c r="A249" s="8" t="n">
        <v>32</v>
      </c>
      <c r="B249" s="39" t="n">
        <f aca="false">EDATE(StartDate,A249-1)</f>
        <v>47331</v>
      </c>
      <c r="C249" s="24" t="str">
        <f aca="false">Monthly!$B$14</f>
        <v>EnergyWave, Inc.</v>
      </c>
      <c r="D249" s="24" t="str">
        <f aca="false">Monthly!$C$14</f>
        <v>Payroll</v>
      </c>
      <c r="E249" s="24" t="str">
        <f aca="false">Monthly!$D$14</f>
        <v>Salary &amp; load</v>
      </c>
      <c r="F249" s="24" t="str">
        <f aca="false">Monthly!$A$14</f>
        <v>Applied Physicist 5</v>
      </c>
      <c r="G249" s="20" t="n">
        <f aca="false">Monthly!AK$14</f>
        <v>15250</v>
      </c>
      <c r="H249" s="24" t="str">
        <f aca="false">ScenarioName</f>
        <v>Base</v>
      </c>
    </row>
    <row r="250" customFormat="false" ht="15" hidden="false" customHeight="false" outlineLevel="0" collapsed="false">
      <c r="A250" s="8" t="n">
        <v>33</v>
      </c>
      <c r="B250" s="39" t="n">
        <f aca="false">EDATE(StartDate,A250-1)</f>
        <v>47362</v>
      </c>
      <c r="C250" s="24" t="str">
        <f aca="false">Monthly!$B$14</f>
        <v>EnergyWave, Inc.</v>
      </c>
      <c r="D250" s="24" t="str">
        <f aca="false">Monthly!$C$14</f>
        <v>Payroll</v>
      </c>
      <c r="E250" s="24" t="str">
        <f aca="false">Monthly!$D$14</f>
        <v>Salary &amp; load</v>
      </c>
      <c r="F250" s="24" t="str">
        <f aca="false">Monthly!$A$14</f>
        <v>Applied Physicist 5</v>
      </c>
      <c r="G250" s="20" t="n">
        <f aca="false">Monthly!AL$14</f>
        <v>15250</v>
      </c>
      <c r="H250" s="24" t="str">
        <f aca="false">ScenarioName</f>
        <v>Base</v>
      </c>
    </row>
    <row r="251" customFormat="false" ht="15" hidden="false" customHeight="false" outlineLevel="0" collapsed="false">
      <c r="A251" s="8" t="n">
        <v>34</v>
      </c>
      <c r="B251" s="39" t="n">
        <f aca="false">EDATE(StartDate,A251-1)</f>
        <v>47392</v>
      </c>
      <c r="C251" s="24" t="str">
        <f aca="false">Monthly!$B$14</f>
        <v>EnergyWave, Inc.</v>
      </c>
      <c r="D251" s="24" t="str">
        <f aca="false">Monthly!$C$14</f>
        <v>Payroll</v>
      </c>
      <c r="E251" s="24" t="str">
        <f aca="false">Monthly!$D$14</f>
        <v>Salary &amp; load</v>
      </c>
      <c r="F251" s="24" t="str">
        <f aca="false">Monthly!$A$14</f>
        <v>Applied Physicist 5</v>
      </c>
      <c r="G251" s="20" t="n">
        <f aca="false">Monthly!AM$14</f>
        <v>15250</v>
      </c>
      <c r="H251" s="24" t="str">
        <f aca="false">ScenarioName</f>
        <v>Base</v>
      </c>
    </row>
    <row r="252" customFormat="false" ht="15" hidden="false" customHeight="false" outlineLevel="0" collapsed="false">
      <c r="A252" s="8" t="n">
        <v>35</v>
      </c>
      <c r="B252" s="39" t="n">
        <f aca="false">EDATE(StartDate,A252-1)</f>
        <v>47423</v>
      </c>
      <c r="C252" s="24" t="str">
        <f aca="false">Monthly!$B$14</f>
        <v>EnergyWave, Inc.</v>
      </c>
      <c r="D252" s="24" t="str">
        <f aca="false">Monthly!$C$14</f>
        <v>Payroll</v>
      </c>
      <c r="E252" s="24" t="str">
        <f aca="false">Monthly!$D$14</f>
        <v>Salary &amp; load</v>
      </c>
      <c r="F252" s="24" t="str">
        <f aca="false">Monthly!$A$14</f>
        <v>Applied Physicist 5</v>
      </c>
      <c r="G252" s="20" t="n">
        <f aca="false">Monthly!AN$14</f>
        <v>15250</v>
      </c>
      <c r="H252" s="24" t="str">
        <f aca="false">ScenarioName</f>
        <v>Base</v>
      </c>
    </row>
    <row r="253" customFormat="false" ht="15" hidden="false" customHeight="false" outlineLevel="0" collapsed="false">
      <c r="A253" s="8" t="n">
        <v>36</v>
      </c>
      <c r="B253" s="39" t="n">
        <f aca="false">EDATE(StartDate,A253-1)</f>
        <v>47453</v>
      </c>
      <c r="C253" s="24" t="str">
        <f aca="false">Monthly!$B$14</f>
        <v>EnergyWave, Inc.</v>
      </c>
      <c r="D253" s="24" t="str">
        <f aca="false">Monthly!$C$14</f>
        <v>Payroll</v>
      </c>
      <c r="E253" s="24" t="str">
        <f aca="false">Monthly!$D$14</f>
        <v>Salary &amp; load</v>
      </c>
      <c r="F253" s="24" t="str">
        <f aca="false">Monthly!$A$14</f>
        <v>Applied Physicist 5</v>
      </c>
      <c r="G253" s="20" t="n">
        <f aca="false">Monthly!AO$14</f>
        <v>15250</v>
      </c>
      <c r="H253" s="24" t="str">
        <f aca="false">ScenarioName</f>
        <v>Base</v>
      </c>
    </row>
    <row r="254" customFormat="false" ht="15" hidden="false" customHeight="false" outlineLevel="0" collapsed="false">
      <c r="A254" s="8" t="n">
        <v>1</v>
      </c>
      <c r="B254" s="39" t="n">
        <f aca="false">EDATE(StartDate,A254-1)</f>
        <v>46388</v>
      </c>
      <c r="C254" s="24" t="str">
        <f aca="false">Monthly!$B$15</f>
        <v>EnergyWave, Inc.</v>
      </c>
      <c r="D254" s="24" t="str">
        <f aca="false">Monthly!$C$15</f>
        <v>Consulting</v>
      </c>
      <c r="E254" s="24" t="str">
        <f aca="false">Monthly!$D$15</f>
        <v>Consulting fee</v>
      </c>
      <c r="F254" s="24" t="str">
        <f aca="false">Monthly!$A$15</f>
        <v>Theoretical Physicist — consulting agreement 1</v>
      </c>
      <c r="G254" s="20" t="n">
        <f aca="false">Monthly!F$15</f>
        <v>41666.6666666667</v>
      </c>
      <c r="H254" s="24" t="str">
        <f aca="false">ScenarioName</f>
        <v>Base</v>
      </c>
    </row>
    <row r="255" customFormat="false" ht="15" hidden="false" customHeight="false" outlineLevel="0" collapsed="false">
      <c r="A255" s="8" t="n">
        <v>2</v>
      </c>
      <c r="B255" s="39" t="n">
        <f aca="false">EDATE(StartDate,A255-1)</f>
        <v>46419</v>
      </c>
      <c r="C255" s="24" t="str">
        <f aca="false">Monthly!$B$15</f>
        <v>EnergyWave, Inc.</v>
      </c>
      <c r="D255" s="24" t="str">
        <f aca="false">Monthly!$C$15</f>
        <v>Consulting</v>
      </c>
      <c r="E255" s="24" t="str">
        <f aca="false">Monthly!$D$15</f>
        <v>Consulting fee</v>
      </c>
      <c r="F255" s="24" t="str">
        <f aca="false">Monthly!$A$15</f>
        <v>Theoretical Physicist — consulting agreement 1</v>
      </c>
      <c r="G255" s="20" t="n">
        <f aca="false">Monthly!G$15</f>
        <v>41666.6666666667</v>
      </c>
      <c r="H255" s="24" t="str">
        <f aca="false">ScenarioName</f>
        <v>Base</v>
      </c>
    </row>
    <row r="256" customFormat="false" ht="15" hidden="false" customHeight="false" outlineLevel="0" collapsed="false">
      <c r="A256" s="8" t="n">
        <v>3</v>
      </c>
      <c r="B256" s="39" t="n">
        <f aca="false">EDATE(StartDate,A256-1)</f>
        <v>46447</v>
      </c>
      <c r="C256" s="24" t="str">
        <f aca="false">Monthly!$B$15</f>
        <v>EnergyWave, Inc.</v>
      </c>
      <c r="D256" s="24" t="str">
        <f aca="false">Monthly!$C$15</f>
        <v>Consulting</v>
      </c>
      <c r="E256" s="24" t="str">
        <f aca="false">Monthly!$D$15</f>
        <v>Consulting fee</v>
      </c>
      <c r="F256" s="24" t="str">
        <f aca="false">Monthly!$A$15</f>
        <v>Theoretical Physicist — consulting agreement 1</v>
      </c>
      <c r="G256" s="20" t="n">
        <f aca="false">Monthly!H$15</f>
        <v>41666.6666666667</v>
      </c>
      <c r="H256" s="24" t="str">
        <f aca="false">ScenarioName</f>
        <v>Base</v>
      </c>
    </row>
    <row r="257" customFormat="false" ht="15" hidden="false" customHeight="false" outlineLevel="0" collapsed="false">
      <c r="A257" s="8" t="n">
        <v>4</v>
      </c>
      <c r="B257" s="39" t="n">
        <f aca="false">EDATE(StartDate,A257-1)</f>
        <v>46478</v>
      </c>
      <c r="C257" s="24" t="str">
        <f aca="false">Monthly!$B$15</f>
        <v>EnergyWave, Inc.</v>
      </c>
      <c r="D257" s="24" t="str">
        <f aca="false">Monthly!$C$15</f>
        <v>Consulting</v>
      </c>
      <c r="E257" s="24" t="str">
        <f aca="false">Monthly!$D$15</f>
        <v>Consulting fee</v>
      </c>
      <c r="F257" s="24" t="str">
        <f aca="false">Monthly!$A$15</f>
        <v>Theoretical Physicist — consulting agreement 1</v>
      </c>
      <c r="G257" s="20" t="n">
        <f aca="false">Monthly!I$15</f>
        <v>41666.6666666667</v>
      </c>
      <c r="H257" s="24" t="str">
        <f aca="false">ScenarioName</f>
        <v>Base</v>
      </c>
    </row>
    <row r="258" customFormat="false" ht="15" hidden="false" customHeight="false" outlineLevel="0" collapsed="false">
      <c r="A258" s="8" t="n">
        <v>5</v>
      </c>
      <c r="B258" s="39" t="n">
        <f aca="false">EDATE(StartDate,A258-1)</f>
        <v>46508</v>
      </c>
      <c r="C258" s="24" t="str">
        <f aca="false">Monthly!$B$15</f>
        <v>EnergyWave, Inc.</v>
      </c>
      <c r="D258" s="24" t="str">
        <f aca="false">Monthly!$C$15</f>
        <v>Consulting</v>
      </c>
      <c r="E258" s="24" t="str">
        <f aca="false">Monthly!$D$15</f>
        <v>Consulting fee</v>
      </c>
      <c r="F258" s="24" t="str">
        <f aca="false">Monthly!$A$15</f>
        <v>Theoretical Physicist — consulting agreement 1</v>
      </c>
      <c r="G258" s="20" t="n">
        <f aca="false">Monthly!J$15</f>
        <v>41666.6666666667</v>
      </c>
      <c r="H258" s="24" t="str">
        <f aca="false">ScenarioName</f>
        <v>Base</v>
      </c>
    </row>
    <row r="259" customFormat="false" ht="15" hidden="false" customHeight="false" outlineLevel="0" collapsed="false">
      <c r="A259" s="8" t="n">
        <v>6</v>
      </c>
      <c r="B259" s="39" t="n">
        <f aca="false">EDATE(StartDate,A259-1)</f>
        <v>46539</v>
      </c>
      <c r="C259" s="24" t="str">
        <f aca="false">Monthly!$B$15</f>
        <v>EnergyWave, Inc.</v>
      </c>
      <c r="D259" s="24" t="str">
        <f aca="false">Monthly!$C$15</f>
        <v>Consulting</v>
      </c>
      <c r="E259" s="24" t="str">
        <f aca="false">Monthly!$D$15</f>
        <v>Consulting fee</v>
      </c>
      <c r="F259" s="24" t="str">
        <f aca="false">Monthly!$A$15</f>
        <v>Theoretical Physicist — consulting agreement 1</v>
      </c>
      <c r="G259" s="20" t="n">
        <f aca="false">Monthly!K$15</f>
        <v>41666.6666666667</v>
      </c>
      <c r="H259" s="24" t="str">
        <f aca="false">ScenarioName</f>
        <v>Base</v>
      </c>
    </row>
    <row r="260" customFormat="false" ht="15" hidden="false" customHeight="false" outlineLevel="0" collapsed="false">
      <c r="A260" s="8" t="n">
        <v>7</v>
      </c>
      <c r="B260" s="39" t="n">
        <f aca="false">EDATE(StartDate,A260-1)</f>
        <v>46569</v>
      </c>
      <c r="C260" s="24" t="str">
        <f aca="false">Monthly!$B$15</f>
        <v>EnergyWave, Inc.</v>
      </c>
      <c r="D260" s="24" t="str">
        <f aca="false">Monthly!$C$15</f>
        <v>Consulting</v>
      </c>
      <c r="E260" s="24" t="str">
        <f aca="false">Monthly!$D$15</f>
        <v>Consulting fee</v>
      </c>
      <c r="F260" s="24" t="str">
        <f aca="false">Monthly!$A$15</f>
        <v>Theoretical Physicist — consulting agreement 1</v>
      </c>
      <c r="G260" s="20" t="n">
        <f aca="false">Monthly!L$15</f>
        <v>41666.6666666667</v>
      </c>
      <c r="H260" s="24" t="str">
        <f aca="false">ScenarioName</f>
        <v>Base</v>
      </c>
    </row>
    <row r="261" customFormat="false" ht="15" hidden="false" customHeight="false" outlineLevel="0" collapsed="false">
      <c r="A261" s="8" t="n">
        <v>8</v>
      </c>
      <c r="B261" s="39" t="n">
        <f aca="false">EDATE(StartDate,A261-1)</f>
        <v>46600</v>
      </c>
      <c r="C261" s="24" t="str">
        <f aca="false">Monthly!$B$15</f>
        <v>EnergyWave, Inc.</v>
      </c>
      <c r="D261" s="24" t="str">
        <f aca="false">Monthly!$C$15</f>
        <v>Consulting</v>
      </c>
      <c r="E261" s="24" t="str">
        <f aca="false">Monthly!$D$15</f>
        <v>Consulting fee</v>
      </c>
      <c r="F261" s="24" t="str">
        <f aca="false">Monthly!$A$15</f>
        <v>Theoretical Physicist — consulting agreement 1</v>
      </c>
      <c r="G261" s="20" t="n">
        <f aca="false">Monthly!M$15</f>
        <v>41666.6666666667</v>
      </c>
      <c r="H261" s="24" t="str">
        <f aca="false">ScenarioName</f>
        <v>Base</v>
      </c>
    </row>
    <row r="262" customFormat="false" ht="15" hidden="false" customHeight="false" outlineLevel="0" collapsed="false">
      <c r="A262" s="8" t="n">
        <v>9</v>
      </c>
      <c r="B262" s="39" t="n">
        <f aca="false">EDATE(StartDate,A262-1)</f>
        <v>46631</v>
      </c>
      <c r="C262" s="24" t="str">
        <f aca="false">Monthly!$B$15</f>
        <v>EnergyWave, Inc.</v>
      </c>
      <c r="D262" s="24" t="str">
        <f aca="false">Monthly!$C$15</f>
        <v>Consulting</v>
      </c>
      <c r="E262" s="24" t="str">
        <f aca="false">Monthly!$D$15</f>
        <v>Consulting fee</v>
      </c>
      <c r="F262" s="24" t="str">
        <f aca="false">Monthly!$A$15</f>
        <v>Theoretical Physicist — consulting agreement 1</v>
      </c>
      <c r="G262" s="20" t="n">
        <f aca="false">Monthly!N$15</f>
        <v>41666.6666666667</v>
      </c>
      <c r="H262" s="24" t="str">
        <f aca="false">ScenarioName</f>
        <v>Base</v>
      </c>
    </row>
    <row r="263" customFormat="false" ht="15" hidden="false" customHeight="false" outlineLevel="0" collapsed="false">
      <c r="A263" s="8" t="n">
        <v>10</v>
      </c>
      <c r="B263" s="39" t="n">
        <f aca="false">EDATE(StartDate,A263-1)</f>
        <v>46661</v>
      </c>
      <c r="C263" s="24" t="str">
        <f aca="false">Monthly!$B$15</f>
        <v>EnergyWave, Inc.</v>
      </c>
      <c r="D263" s="24" t="str">
        <f aca="false">Monthly!$C$15</f>
        <v>Consulting</v>
      </c>
      <c r="E263" s="24" t="str">
        <f aca="false">Monthly!$D$15</f>
        <v>Consulting fee</v>
      </c>
      <c r="F263" s="24" t="str">
        <f aca="false">Monthly!$A$15</f>
        <v>Theoretical Physicist — consulting agreement 1</v>
      </c>
      <c r="G263" s="20" t="n">
        <f aca="false">Monthly!O$15</f>
        <v>41666.6666666667</v>
      </c>
      <c r="H263" s="24" t="str">
        <f aca="false">ScenarioName</f>
        <v>Base</v>
      </c>
    </row>
    <row r="264" customFormat="false" ht="15" hidden="false" customHeight="false" outlineLevel="0" collapsed="false">
      <c r="A264" s="8" t="n">
        <v>11</v>
      </c>
      <c r="B264" s="39" t="n">
        <f aca="false">EDATE(StartDate,A264-1)</f>
        <v>46692</v>
      </c>
      <c r="C264" s="24" t="str">
        <f aca="false">Monthly!$B$15</f>
        <v>EnergyWave, Inc.</v>
      </c>
      <c r="D264" s="24" t="str">
        <f aca="false">Monthly!$C$15</f>
        <v>Consulting</v>
      </c>
      <c r="E264" s="24" t="str">
        <f aca="false">Monthly!$D$15</f>
        <v>Consulting fee</v>
      </c>
      <c r="F264" s="24" t="str">
        <f aca="false">Monthly!$A$15</f>
        <v>Theoretical Physicist — consulting agreement 1</v>
      </c>
      <c r="G264" s="20" t="n">
        <f aca="false">Monthly!P$15</f>
        <v>41666.6666666667</v>
      </c>
      <c r="H264" s="24" t="str">
        <f aca="false">ScenarioName</f>
        <v>Base</v>
      </c>
    </row>
    <row r="265" customFormat="false" ht="15" hidden="false" customHeight="false" outlineLevel="0" collapsed="false">
      <c r="A265" s="8" t="n">
        <v>12</v>
      </c>
      <c r="B265" s="39" t="n">
        <f aca="false">EDATE(StartDate,A265-1)</f>
        <v>46722</v>
      </c>
      <c r="C265" s="24" t="str">
        <f aca="false">Monthly!$B$15</f>
        <v>EnergyWave, Inc.</v>
      </c>
      <c r="D265" s="24" t="str">
        <f aca="false">Monthly!$C$15</f>
        <v>Consulting</v>
      </c>
      <c r="E265" s="24" t="str">
        <f aca="false">Monthly!$D$15</f>
        <v>Consulting fee</v>
      </c>
      <c r="F265" s="24" t="str">
        <f aca="false">Monthly!$A$15</f>
        <v>Theoretical Physicist — consulting agreement 1</v>
      </c>
      <c r="G265" s="20" t="n">
        <f aca="false">Monthly!Q$15</f>
        <v>41666.6666666667</v>
      </c>
      <c r="H265" s="24" t="str">
        <f aca="false">ScenarioName</f>
        <v>Base</v>
      </c>
    </row>
    <row r="266" customFormat="false" ht="15" hidden="false" customHeight="false" outlineLevel="0" collapsed="false">
      <c r="A266" s="8" t="n">
        <v>13</v>
      </c>
      <c r="B266" s="39" t="n">
        <f aca="false">EDATE(StartDate,A266-1)</f>
        <v>46753</v>
      </c>
      <c r="C266" s="24" t="str">
        <f aca="false">Monthly!$B$15</f>
        <v>EnergyWave, Inc.</v>
      </c>
      <c r="D266" s="24" t="str">
        <f aca="false">Monthly!$C$15</f>
        <v>Consulting</v>
      </c>
      <c r="E266" s="24" t="str">
        <f aca="false">Monthly!$D$15</f>
        <v>Consulting fee</v>
      </c>
      <c r="F266" s="24" t="str">
        <f aca="false">Monthly!$A$15</f>
        <v>Theoretical Physicist — consulting agreement 1</v>
      </c>
      <c r="G266" s="20" t="n">
        <f aca="false">Monthly!R$15</f>
        <v>41666.6666666667</v>
      </c>
      <c r="H266" s="24" t="str">
        <f aca="false">ScenarioName</f>
        <v>Base</v>
      </c>
    </row>
    <row r="267" customFormat="false" ht="15" hidden="false" customHeight="false" outlineLevel="0" collapsed="false">
      <c r="A267" s="8" t="n">
        <v>14</v>
      </c>
      <c r="B267" s="39" t="n">
        <f aca="false">EDATE(StartDate,A267-1)</f>
        <v>46784</v>
      </c>
      <c r="C267" s="24" t="str">
        <f aca="false">Monthly!$B$15</f>
        <v>EnergyWave, Inc.</v>
      </c>
      <c r="D267" s="24" t="str">
        <f aca="false">Monthly!$C$15</f>
        <v>Consulting</v>
      </c>
      <c r="E267" s="24" t="str">
        <f aca="false">Monthly!$D$15</f>
        <v>Consulting fee</v>
      </c>
      <c r="F267" s="24" t="str">
        <f aca="false">Monthly!$A$15</f>
        <v>Theoretical Physicist — consulting agreement 1</v>
      </c>
      <c r="G267" s="20" t="n">
        <f aca="false">Monthly!S$15</f>
        <v>41666.6666666667</v>
      </c>
      <c r="H267" s="24" t="str">
        <f aca="false">ScenarioName</f>
        <v>Base</v>
      </c>
    </row>
    <row r="268" customFormat="false" ht="15" hidden="false" customHeight="false" outlineLevel="0" collapsed="false">
      <c r="A268" s="8" t="n">
        <v>15</v>
      </c>
      <c r="B268" s="39" t="n">
        <f aca="false">EDATE(StartDate,A268-1)</f>
        <v>46813</v>
      </c>
      <c r="C268" s="24" t="str">
        <f aca="false">Monthly!$B$15</f>
        <v>EnergyWave, Inc.</v>
      </c>
      <c r="D268" s="24" t="str">
        <f aca="false">Monthly!$C$15</f>
        <v>Consulting</v>
      </c>
      <c r="E268" s="24" t="str">
        <f aca="false">Monthly!$D$15</f>
        <v>Consulting fee</v>
      </c>
      <c r="F268" s="24" t="str">
        <f aca="false">Monthly!$A$15</f>
        <v>Theoretical Physicist — consulting agreement 1</v>
      </c>
      <c r="G268" s="20" t="n">
        <f aca="false">Monthly!T$15</f>
        <v>41666.6666666667</v>
      </c>
      <c r="H268" s="24" t="str">
        <f aca="false">ScenarioName</f>
        <v>Base</v>
      </c>
    </row>
    <row r="269" customFormat="false" ht="15" hidden="false" customHeight="false" outlineLevel="0" collapsed="false">
      <c r="A269" s="8" t="n">
        <v>16</v>
      </c>
      <c r="B269" s="39" t="n">
        <f aca="false">EDATE(StartDate,A269-1)</f>
        <v>46844</v>
      </c>
      <c r="C269" s="24" t="str">
        <f aca="false">Monthly!$B$15</f>
        <v>EnergyWave, Inc.</v>
      </c>
      <c r="D269" s="24" t="str">
        <f aca="false">Monthly!$C$15</f>
        <v>Consulting</v>
      </c>
      <c r="E269" s="24" t="str">
        <f aca="false">Monthly!$D$15</f>
        <v>Consulting fee</v>
      </c>
      <c r="F269" s="24" t="str">
        <f aca="false">Monthly!$A$15</f>
        <v>Theoretical Physicist — consulting agreement 1</v>
      </c>
      <c r="G269" s="20" t="n">
        <f aca="false">Monthly!U$15</f>
        <v>41666.6666666667</v>
      </c>
      <c r="H269" s="24" t="str">
        <f aca="false">ScenarioName</f>
        <v>Base</v>
      </c>
    </row>
    <row r="270" customFormat="false" ht="15" hidden="false" customHeight="false" outlineLevel="0" collapsed="false">
      <c r="A270" s="8" t="n">
        <v>17</v>
      </c>
      <c r="B270" s="39" t="n">
        <f aca="false">EDATE(StartDate,A270-1)</f>
        <v>46874</v>
      </c>
      <c r="C270" s="24" t="str">
        <f aca="false">Monthly!$B$15</f>
        <v>EnergyWave, Inc.</v>
      </c>
      <c r="D270" s="24" t="str">
        <f aca="false">Monthly!$C$15</f>
        <v>Consulting</v>
      </c>
      <c r="E270" s="24" t="str">
        <f aca="false">Monthly!$D$15</f>
        <v>Consulting fee</v>
      </c>
      <c r="F270" s="24" t="str">
        <f aca="false">Monthly!$A$15</f>
        <v>Theoretical Physicist — consulting agreement 1</v>
      </c>
      <c r="G270" s="20" t="n">
        <f aca="false">Monthly!V$15</f>
        <v>41666.6666666667</v>
      </c>
      <c r="H270" s="24" t="str">
        <f aca="false">ScenarioName</f>
        <v>Base</v>
      </c>
    </row>
    <row r="271" customFormat="false" ht="15" hidden="false" customHeight="false" outlineLevel="0" collapsed="false">
      <c r="A271" s="8" t="n">
        <v>18</v>
      </c>
      <c r="B271" s="39" t="n">
        <f aca="false">EDATE(StartDate,A271-1)</f>
        <v>46905</v>
      </c>
      <c r="C271" s="24" t="str">
        <f aca="false">Monthly!$B$15</f>
        <v>EnergyWave, Inc.</v>
      </c>
      <c r="D271" s="24" t="str">
        <f aca="false">Monthly!$C$15</f>
        <v>Consulting</v>
      </c>
      <c r="E271" s="24" t="str">
        <f aca="false">Monthly!$D$15</f>
        <v>Consulting fee</v>
      </c>
      <c r="F271" s="24" t="str">
        <f aca="false">Monthly!$A$15</f>
        <v>Theoretical Physicist — consulting agreement 1</v>
      </c>
      <c r="G271" s="20" t="n">
        <f aca="false">Monthly!W$15</f>
        <v>41666.6666666667</v>
      </c>
      <c r="H271" s="24" t="str">
        <f aca="false">ScenarioName</f>
        <v>Base</v>
      </c>
    </row>
    <row r="272" customFormat="false" ht="15" hidden="false" customHeight="false" outlineLevel="0" collapsed="false">
      <c r="A272" s="8" t="n">
        <v>19</v>
      </c>
      <c r="B272" s="39" t="n">
        <f aca="false">EDATE(StartDate,A272-1)</f>
        <v>46935</v>
      </c>
      <c r="C272" s="24" t="str">
        <f aca="false">Monthly!$B$15</f>
        <v>EnergyWave, Inc.</v>
      </c>
      <c r="D272" s="24" t="str">
        <f aca="false">Monthly!$C$15</f>
        <v>Consulting</v>
      </c>
      <c r="E272" s="24" t="str">
        <f aca="false">Monthly!$D$15</f>
        <v>Consulting fee</v>
      </c>
      <c r="F272" s="24" t="str">
        <f aca="false">Monthly!$A$15</f>
        <v>Theoretical Physicist — consulting agreement 1</v>
      </c>
      <c r="G272" s="20" t="n">
        <f aca="false">Monthly!X$15</f>
        <v>41666.6666666667</v>
      </c>
      <c r="H272" s="24" t="str">
        <f aca="false">ScenarioName</f>
        <v>Base</v>
      </c>
    </row>
    <row r="273" customFormat="false" ht="15" hidden="false" customHeight="false" outlineLevel="0" collapsed="false">
      <c r="A273" s="8" t="n">
        <v>20</v>
      </c>
      <c r="B273" s="39" t="n">
        <f aca="false">EDATE(StartDate,A273-1)</f>
        <v>46966</v>
      </c>
      <c r="C273" s="24" t="str">
        <f aca="false">Monthly!$B$15</f>
        <v>EnergyWave, Inc.</v>
      </c>
      <c r="D273" s="24" t="str">
        <f aca="false">Monthly!$C$15</f>
        <v>Consulting</v>
      </c>
      <c r="E273" s="24" t="str">
        <f aca="false">Monthly!$D$15</f>
        <v>Consulting fee</v>
      </c>
      <c r="F273" s="24" t="str">
        <f aca="false">Monthly!$A$15</f>
        <v>Theoretical Physicist — consulting agreement 1</v>
      </c>
      <c r="G273" s="20" t="n">
        <f aca="false">Monthly!Y$15</f>
        <v>41666.6666666667</v>
      </c>
      <c r="H273" s="24" t="str">
        <f aca="false">ScenarioName</f>
        <v>Base</v>
      </c>
    </row>
    <row r="274" customFormat="false" ht="15" hidden="false" customHeight="false" outlineLevel="0" collapsed="false">
      <c r="A274" s="8" t="n">
        <v>21</v>
      </c>
      <c r="B274" s="39" t="n">
        <f aca="false">EDATE(StartDate,A274-1)</f>
        <v>46997</v>
      </c>
      <c r="C274" s="24" t="str">
        <f aca="false">Monthly!$B$15</f>
        <v>EnergyWave, Inc.</v>
      </c>
      <c r="D274" s="24" t="str">
        <f aca="false">Monthly!$C$15</f>
        <v>Consulting</v>
      </c>
      <c r="E274" s="24" t="str">
        <f aca="false">Monthly!$D$15</f>
        <v>Consulting fee</v>
      </c>
      <c r="F274" s="24" t="str">
        <f aca="false">Monthly!$A$15</f>
        <v>Theoretical Physicist — consulting agreement 1</v>
      </c>
      <c r="G274" s="20" t="n">
        <f aca="false">Monthly!Z$15</f>
        <v>41666.6666666667</v>
      </c>
      <c r="H274" s="24" t="str">
        <f aca="false">ScenarioName</f>
        <v>Base</v>
      </c>
    </row>
    <row r="275" customFormat="false" ht="15" hidden="false" customHeight="false" outlineLevel="0" collapsed="false">
      <c r="A275" s="8" t="n">
        <v>22</v>
      </c>
      <c r="B275" s="39" t="n">
        <f aca="false">EDATE(StartDate,A275-1)</f>
        <v>47027</v>
      </c>
      <c r="C275" s="24" t="str">
        <f aca="false">Monthly!$B$15</f>
        <v>EnergyWave, Inc.</v>
      </c>
      <c r="D275" s="24" t="str">
        <f aca="false">Monthly!$C$15</f>
        <v>Consulting</v>
      </c>
      <c r="E275" s="24" t="str">
        <f aca="false">Monthly!$D$15</f>
        <v>Consulting fee</v>
      </c>
      <c r="F275" s="24" t="str">
        <f aca="false">Monthly!$A$15</f>
        <v>Theoretical Physicist — consulting agreement 1</v>
      </c>
      <c r="G275" s="20" t="n">
        <f aca="false">Monthly!AA$15</f>
        <v>41666.6666666667</v>
      </c>
      <c r="H275" s="24" t="str">
        <f aca="false">ScenarioName</f>
        <v>Base</v>
      </c>
    </row>
    <row r="276" customFormat="false" ht="15" hidden="false" customHeight="false" outlineLevel="0" collapsed="false">
      <c r="A276" s="8" t="n">
        <v>23</v>
      </c>
      <c r="B276" s="39" t="n">
        <f aca="false">EDATE(StartDate,A276-1)</f>
        <v>47058</v>
      </c>
      <c r="C276" s="24" t="str">
        <f aca="false">Monthly!$B$15</f>
        <v>EnergyWave, Inc.</v>
      </c>
      <c r="D276" s="24" t="str">
        <f aca="false">Monthly!$C$15</f>
        <v>Consulting</v>
      </c>
      <c r="E276" s="24" t="str">
        <f aca="false">Monthly!$D$15</f>
        <v>Consulting fee</v>
      </c>
      <c r="F276" s="24" t="str">
        <f aca="false">Monthly!$A$15</f>
        <v>Theoretical Physicist — consulting agreement 1</v>
      </c>
      <c r="G276" s="20" t="n">
        <f aca="false">Monthly!AB$15</f>
        <v>41666.6666666667</v>
      </c>
      <c r="H276" s="24" t="str">
        <f aca="false">ScenarioName</f>
        <v>Base</v>
      </c>
    </row>
    <row r="277" customFormat="false" ht="15" hidden="false" customHeight="false" outlineLevel="0" collapsed="false">
      <c r="A277" s="8" t="n">
        <v>24</v>
      </c>
      <c r="B277" s="39" t="n">
        <f aca="false">EDATE(StartDate,A277-1)</f>
        <v>47088</v>
      </c>
      <c r="C277" s="24" t="str">
        <f aca="false">Monthly!$B$15</f>
        <v>EnergyWave, Inc.</v>
      </c>
      <c r="D277" s="24" t="str">
        <f aca="false">Monthly!$C$15</f>
        <v>Consulting</v>
      </c>
      <c r="E277" s="24" t="str">
        <f aca="false">Monthly!$D$15</f>
        <v>Consulting fee</v>
      </c>
      <c r="F277" s="24" t="str">
        <f aca="false">Monthly!$A$15</f>
        <v>Theoretical Physicist — consulting agreement 1</v>
      </c>
      <c r="G277" s="20" t="n">
        <f aca="false">Monthly!AC$15</f>
        <v>41666.6666666667</v>
      </c>
      <c r="H277" s="24" t="str">
        <f aca="false">ScenarioName</f>
        <v>Base</v>
      </c>
    </row>
    <row r="278" customFormat="false" ht="15" hidden="false" customHeight="false" outlineLevel="0" collapsed="false">
      <c r="A278" s="8" t="n">
        <v>25</v>
      </c>
      <c r="B278" s="39" t="n">
        <f aca="false">EDATE(StartDate,A278-1)</f>
        <v>47119</v>
      </c>
      <c r="C278" s="24" t="str">
        <f aca="false">Monthly!$B$15</f>
        <v>EnergyWave, Inc.</v>
      </c>
      <c r="D278" s="24" t="str">
        <f aca="false">Monthly!$C$15</f>
        <v>Consulting</v>
      </c>
      <c r="E278" s="24" t="str">
        <f aca="false">Monthly!$D$15</f>
        <v>Consulting fee</v>
      </c>
      <c r="F278" s="24" t="str">
        <f aca="false">Monthly!$A$15</f>
        <v>Theoretical Physicist — consulting agreement 1</v>
      </c>
      <c r="G278" s="20" t="n">
        <f aca="false">Monthly!AD$15</f>
        <v>41666.6666666667</v>
      </c>
      <c r="H278" s="24" t="str">
        <f aca="false">ScenarioName</f>
        <v>Base</v>
      </c>
    </row>
    <row r="279" customFormat="false" ht="15" hidden="false" customHeight="false" outlineLevel="0" collapsed="false">
      <c r="A279" s="8" t="n">
        <v>26</v>
      </c>
      <c r="B279" s="39" t="n">
        <f aca="false">EDATE(StartDate,A279-1)</f>
        <v>47150</v>
      </c>
      <c r="C279" s="24" t="str">
        <f aca="false">Monthly!$B$15</f>
        <v>EnergyWave, Inc.</v>
      </c>
      <c r="D279" s="24" t="str">
        <f aca="false">Monthly!$C$15</f>
        <v>Consulting</v>
      </c>
      <c r="E279" s="24" t="str">
        <f aca="false">Monthly!$D$15</f>
        <v>Consulting fee</v>
      </c>
      <c r="F279" s="24" t="str">
        <f aca="false">Monthly!$A$15</f>
        <v>Theoretical Physicist — consulting agreement 1</v>
      </c>
      <c r="G279" s="20" t="n">
        <f aca="false">Monthly!AE$15</f>
        <v>41666.6666666667</v>
      </c>
      <c r="H279" s="24" t="str">
        <f aca="false">ScenarioName</f>
        <v>Base</v>
      </c>
    </row>
    <row r="280" customFormat="false" ht="15" hidden="false" customHeight="false" outlineLevel="0" collapsed="false">
      <c r="A280" s="8" t="n">
        <v>27</v>
      </c>
      <c r="B280" s="39" t="n">
        <f aca="false">EDATE(StartDate,A280-1)</f>
        <v>47178</v>
      </c>
      <c r="C280" s="24" t="str">
        <f aca="false">Monthly!$B$15</f>
        <v>EnergyWave, Inc.</v>
      </c>
      <c r="D280" s="24" t="str">
        <f aca="false">Monthly!$C$15</f>
        <v>Consulting</v>
      </c>
      <c r="E280" s="24" t="str">
        <f aca="false">Monthly!$D$15</f>
        <v>Consulting fee</v>
      </c>
      <c r="F280" s="24" t="str">
        <f aca="false">Monthly!$A$15</f>
        <v>Theoretical Physicist — consulting agreement 1</v>
      </c>
      <c r="G280" s="20" t="n">
        <f aca="false">Monthly!AF$15</f>
        <v>41666.6666666667</v>
      </c>
      <c r="H280" s="24" t="str">
        <f aca="false">ScenarioName</f>
        <v>Base</v>
      </c>
    </row>
    <row r="281" customFormat="false" ht="15" hidden="false" customHeight="false" outlineLevel="0" collapsed="false">
      <c r="A281" s="8" t="n">
        <v>28</v>
      </c>
      <c r="B281" s="39" t="n">
        <f aca="false">EDATE(StartDate,A281-1)</f>
        <v>47209</v>
      </c>
      <c r="C281" s="24" t="str">
        <f aca="false">Monthly!$B$15</f>
        <v>EnergyWave, Inc.</v>
      </c>
      <c r="D281" s="24" t="str">
        <f aca="false">Monthly!$C$15</f>
        <v>Consulting</v>
      </c>
      <c r="E281" s="24" t="str">
        <f aca="false">Monthly!$D$15</f>
        <v>Consulting fee</v>
      </c>
      <c r="F281" s="24" t="str">
        <f aca="false">Monthly!$A$15</f>
        <v>Theoretical Physicist — consulting agreement 1</v>
      </c>
      <c r="G281" s="20" t="n">
        <f aca="false">Monthly!AG$15</f>
        <v>41666.6666666667</v>
      </c>
      <c r="H281" s="24" t="str">
        <f aca="false">ScenarioName</f>
        <v>Base</v>
      </c>
    </row>
    <row r="282" customFormat="false" ht="15" hidden="false" customHeight="false" outlineLevel="0" collapsed="false">
      <c r="A282" s="8" t="n">
        <v>29</v>
      </c>
      <c r="B282" s="39" t="n">
        <f aca="false">EDATE(StartDate,A282-1)</f>
        <v>47239</v>
      </c>
      <c r="C282" s="24" t="str">
        <f aca="false">Monthly!$B$15</f>
        <v>EnergyWave, Inc.</v>
      </c>
      <c r="D282" s="24" t="str">
        <f aca="false">Monthly!$C$15</f>
        <v>Consulting</v>
      </c>
      <c r="E282" s="24" t="str">
        <f aca="false">Monthly!$D$15</f>
        <v>Consulting fee</v>
      </c>
      <c r="F282" s="24" t="str">
        <f aca="false">Monthly!$A$15</f>
        <v>Theoretical Physicist — consulting agreement 1</v>
      </c>
      <c r="G282" s="20" t="n">
        <f aca="false">Monthly!AH$15</f>
        <v>41666.6666666667</v>
      </c>
      <c r="H282" s="24" t="str">
        <f aca="false">ScenarioName</f>
        <v>Base</v>
      </c>
    </row>
    <row r="283" customFormat="false" ht="15" hidden="false" customHeight="false" outlineLevel="0" collapsed="false">
      <c r="A283" s="8" t="n">
        <v>30</v>
      </c>
      <c r="B283" s="39" t="n">
        <f aca="false">EDATE(StartDate,A283-1)</f>
        <v>47270</v>
      </c>
      <c r="C283" s="24" t="str">
        <f aca="false">Monthly!$B$15</f>
        <v>EnergyWave, Inc.</v>
      </c>
      <c r="D283" s="24" t="str">
        <f aca="false">Monthly!$C$15</f>
        <v>Consulting</v>
      </c>
      <c r="E283" s="24" t="str">
        <f aca="false">Monthly!$D$15</f>
        <v>Consulting fee</v>
      </c>
      <c r="F283" s="24" t="str">
        <f aca="false">Monthly!$A$15</f>
        <v>Theoretical Physicist — consulting agreement 1</v>
      </c>
      <c r="G283" s="20" t="n">
        <f aca="false">Monthly!AI$15</f>
        <v>41666.6666666667</v>
      </c>
      <c r="H283" s="24" t="str">
        <f aca="false">ScenarioName</f>
        <v>Base</v>
      </c>
    </row>
    <row r="284" customFormat="false" ht="15" hidden="false" customHeight="false" outlineLevel="0" collapsed="false">
      <c r="A284" s="8" t="n">
        <v>31</v>
      </c>
      <c r="B284" s="39" t="n">
        <f aca="false">EDATE(StartDate,A284-1)</f>
        <v>47300</v>
      </c>
      <c r="C284" s="24" t="str">
        <f aca="false">Monthly!$B$15</f>
        <v>EnergyWave, Inc.</v>
      </c>
      <c r="D284" s="24" t="str">
        <f aca="false">Monthly!$C$15</f>
        <v>Consulting</v>
      </c>
      <c r="E284" s="24" t="str">
        <f aca="false">Monthly!$D$15</f>
        <v>Consulting fee</v>
      </c>
      <c r="F284" s="24" t="str">
        <f aca="false">Monthly!$A$15</f>
        <v>Theoretical Physicist — consulting agreement 1</v>
      </c>
      <c r="G284" s="20" t="n">
        <f aca="false">Monthly!AJ$15</f>
        <v>41666.6666666667</v>
      </c>
      <c r="H284" s="24" t="str">
        <f aca="false">ScenarioName</f>
        <v>Base</v>
      </c>
    </row>
    <row r="285" customFormat="false" ht="15" hidden="false" customHeight="false" outlineLevel="0" collapsed="false">
      <c r="A285" s="8" t="n">
        <v>32</v>
      </c>
      <c r="B285" s="39" t="n">
        <f aca="false">EDATE(StartDate,A285-1)</f>
        <v>47331</v>
      </c>
      <c r="C285" s="24" t="str">
        <f aca="false">Monthly!$B$15</f>
        <v>EnergyWave, Inc.</v>
      </c>
      <c r="D285" s="24" t="str">
        <f aca="false">Monthly!$C$15</f>
        <v>Consulting</v>
      </c>
      <c r="E285" s="24" t="str">
        <f aca="false">Monthly!$D$15</f>
        <v>Consulting fee</v>
      </c>
      <c r="F285" s="24" t="str">
        <f aca="false">Monthly!$A$15</f>
        <v>Theoretical Physicist — consulting agreement 1</v>
      </c>
      <c r="G285" s="20" t="n">
        <f aca="false">Monthly!AK$15</f>
        <v>41666.6666666667</v>
      </c>
      <c r="H285" s="24" t="str">
        <f aca="false">ScenarioName</f>
        <v>Base</v>
      </c>
    </row>
    <row r="286" customFormat="false" ht="15" hidden="false" customHeight="false" outlineLevel="0" collapsed="false">
      <c r="A286" s="8" t="n">
        <v>33</v>
      </c>
      <c r="B286" s="39" t="n">
        <f aca="false">EDATE(StartDate,A286-1)</f>
        <v>47362</v>
      </c>
      <c r="C286" s="24" t="str">
        <f aca="false">Monthly!$B$15</f>
        <v>EnergyWave, Inc.</v>
      </c>
      <c r="D286" s="24" t="str">
        <f aca="false">Monthly!$C$15</f>
        <v>Consulting</v>
      </c>
      <c r="E286" s="24" t="str">
        <f aca="false">Monthly!$D$15</f>
        <v>Consulting fee</v>
      </c>
      <c r="F286" s="24" t="str">
        <f aca="false">Monthly!$A$15</f>
        <v>Theoretical Physicist — consulting agreement 1</v>
      </c>
      <c r="G286" s="20" t="n">
        <f aca="false">Monthly!AL$15</f>
        <v>41666.6666666667</v>
      </c>
      <c r="H286" s="24" t="str">
        <f aca="false">ScenarioName</f>
        <v>Base</v>
      </c>
    </row>
    <row r="287" customFormat="false" ht="15" hidden="false" customHeight="false" outlineLevel="0" collapsed="false">
      <c r="A287" s="8" t="n">
        <v>34</v>
      </c>
      <c r="B287" s="39" t="n">
        <f aca="false">EDATE(StartDate,A287-1)</f>
        <v>47392</v>
      </c>
      <c r="C287" s="24" t="str">
        <f aca="false">Monthly!$B$15</f>
        <v>EnergyWave, Inc.</v>
      </c>
      <c r="D287" s="24" t="str">
        <f aca="false">Monthly!$C$15</f>
        <v>Consulting</v>
      </c>
      <c r="E287" s="24" t="str">
        <f aca="false">Monthly!$D$15</f>
        <v>Consulting fee</v>
      </c>
      <c r="F287" s="24" t="str">
        <f aca="false">Monthly!$A$15</f>
        <v>Theoretical Physicist — consulting agreement 1</v>
      </c>
      <c r="G287" s="20" t="n">
        <f aca="false">Monthly!AM$15</f>
        <v>41666.6666666667</v>
      </c>
      <c r="H287" s="24" t="str">
        <f aca="false">ScenarioName</f>
        <v>Base</v>
      </c>
    </row>
    <row r="288" customFormat="false" ht="15" hidden="false" customHeight="false" outlineLevel="0" collapsed="false">
      <c r="A288" s="8" t="n">
        <v>35</v>
      </c>
      <c r="B288" s="39" t="n">
        <f aca="false">EDATE(StartDate,A288-1)</f>
        <v>47423</v>
      </c>
      <c r="C288" s="24" t="str">
        <f aca="false">Monthly!$B$15</f>
        <v>EnergyWave, Inc.</v>
      </c>
      <c r="D288" s="24" t="str">
        <f aca="false">Monthly!$C$15</f>
        <v>Consulting</v>
      </c>
      <c r="E288" s="24" t="str">
        <f aca="false">Monthly!$D$15</f>
        <v>Consulting fee</v>
      </c>
      <c r="F288" s="24" t="str">
        <f aca="false">Monthly!$A$15</f>
        <v>Theoretical Physicist — consulting agreement 1</v>
      </c>
      <c r="G288" s="20" t="n">
        <f aca="false">Monthly!AN$15</f>
        <v>41666.6666666667</v>
      </c>
      <c r="H288" s="24" t="str">
        <f aca="false">ScenarioName</f>
        <v>Base</v>
      </c>
    </row>
    <row r="289" customFormat="false" ht="15" hidden="false" customHeight="false" outlineLevel="0" collapsed="false">
      <c r="A289" s="8" t="n">
        <v>36</v>
      </c>
      <c r="B289" s="39" t="n">
        <f aca="false">EDATE(StartDate,A289-1)</f>
        <v>47453</v>
      </c>
      <c r="C289" s="24" t="str">
        <f aca="false">Monthly!$B$15</f>
        <v>EnergyWave, Inc.</v>
      </c>
      <c r="D289" s="24" t="str">
        <f aca="false">Monthly!$C$15</f>
        <v>Consulting</v>
      </c>
      <c r="E289" s="24" t="str">
        <f aca="false">Monthly!$D$15</f>
        <v>Consulting fee</v>
      </c>
      <c r="F289" s="24" t="str">
        <f aca="false">Monthly!$A$15</f>
        <v>Theoretical Physicist — consulting agreement 1</v>
      </c>
      <c r="G289" s="20" t="n">
        <f aca="false">Monthly!AO$15</f>
        <v>41666.6666666667</v>
      </c>
      <c r="H289" s="24" t="str">
        <f aca="false">ScenarioName</f>
        <v>Base</v>
      </c>
    </row>
    <row r="290" customFormat="false" ht="15" hidden="false" customHeight="false" outlineLevel="0" collapsed="false">
      <c r="A290" s="8" t="n">
        <v>1</v>
      </c>
      <c r="B290" s="39" t="n">
        <f aca="false">EDATE(StartDate,A290-1)</f>
        <v>46388</v>
      </c>
      <c r="C290" s="24" t="str">
        <f aca="false">Monthly!$B$16</f>
        <v>EnergyWave, Inc.</v>
      </c>
      <c r="D290" s="24" t="str">
        <f aca="false">Monthly!$C$16</f>
        <v>Consulting</v>
      </c>
      <c r="E290" s="24" t="str">
        <f aca="false">Monthly!$D$16</f>
        <v>Consulting fee</v>
      </c>
      <c r="F290" s="24" t="str">
        <f aca="false">Monthly!$A$16</f>
        <v>Theoretical Physicist — consulting agreement 2</v>
      </c>
      <c r="G290" s="20" t="n">
        <f aca="false">Monthly!F$16</f>
        <v>0</v>
      </c>
      <c r="H290" s="24" t="str">
        <f aca="false">ScenarioName</f>
        <v>Base</v>
      </c>
    </row>
    <row r="291" customFormat="false" ht="15" hidden="false" customHeight="false" outlineLevel="0" collapsed="false">
      <c r="A291" s="8" t="n">
        <v>2</v>
      </c>
      <c r="B291" s="39" t="n">
        <f aca="false">EDATE(StartDate,A291-1)</f>
        <v>46419</v>
      </c>
      <c r="C291" s="24" t="str">
        <f aca="false">Monthly!$B$16</f>
        <v>EnergyWave, Inc.</v>
      </c>
      <c r="D291" s="24" t="str">
        <f aca="false">Monthly!$C$16</f>
        <v>Consulting</v>
      </c>
      <c r="E291" s="24" t="str">
        <f aca="false">Monthly!$D$16</f>
        <v>Consulting fee</v>
      </c>
      <c r="F291" s="24" t="str">
        <f aca="false">Monthly!$A$16</f>
        <v>Theoretical Physicist — consulting agreement 2</v>
      </c>
      <c r="G291" s="20" t="n">
        <f aca="false">Monthly!G$16</f>
        <v>0</v>
      </c>
      <c r="H291" s="24" t="str">
        <f aca="false">ScenarioName</f>
        <v>Base</v>
      </c>
    </row>
    <row r="292" customFormat="false" ht="15" hidden="false" customHeight="false" outlineLevel="0" collapsed="false">
      <c r="A292" s="8" t="n">
        <v>3</v>
      </c>
      <c r="B292" s="39" t="n">
        <f aca="false">EDATE(StartDate,A292-1)</f>
        <v>46447</v>
      </c>
      <c r="C292" s="24" t="str">
        <f aca="false">Monthly!$B$16</f>
        <v>EnergyWave, Inc.</v>
      </c>
      <c r="D292" s="24" t="str">
        <f aca="false">Monthly!$C$16</f>
        <v>Consulting</v>
      </c>
      <c r="E292" s="24" t="str">
        <f aca="false">Monthly!$D$16</f>
        <v>Consulting fee</v>
      </c>
      <c r="F292" s="24" t="str">
        <f aca="false">Monthly!$A$16</f>
        <v>Theoretical Physicist — consulting agreement 2</v>
      </c>
      <c r="G292" s="20" t="n">
        <f aca="false">Monthly!H$16</f>
        <v>41666.6666666667</v>
      </c>
      <c r="H292" s="24" t="str">
        <f aca="false">ScenarioName</f>
        <v>Base</v>
      </c>
    </row>
    <row r="293" customFormat="false" ht="15" hidden="false" customHeight="false" outlineLevel="0" collapsed="false">
      <c r="A293" s="8" t="n">
        <v>4</v>
      </c>
      <c r="B293" s="39" t="n">
        <f aca="false">EDATE(StartDate,A293-1)</f>
        <v>46478</v>
      </c>
      <c r="C293" s="24" t="str">
        <f aca="false">Monthly!$B$16</f>
        <v>EnergyWave, Inc.</v>
      </c>
      <c r="D293" s="24" t="str">
        <f aca="false">Monthly!$C$16</f>
        <v>Consulting</v>
      </c>
      <c r="E293" s="24" t="str">
        <f aca="false">Monthly!$D$16</f>
        <v>Consulting fee</v>
      </c>
      <c r="F293" s="24" t="str">
        <f aca="false">Monthly!$A$16</f>
        <v>Theoretical Physicist — consulting agreement 2</v>
      </c>
      <c r="G293" s="20" t="n">
        <f aca="false">Monthly!I$16</f>
        <v>41666.6666666667</v>
      </c>
      <c r="H293" s="24" t="str">
        <f aca="false">ScenarioName</f>
        <v>Base</v>
      </c>
    </row>
    <row r="294" customFormat="false" ht="15" hidden="false" customHeight="false" outlineLevel="0" collapsed="false">
      <c r="A294" s="8" t="n">
        <v>5</v>
      </c>
      <c r="B294" s="39" t="n">
        <f aca="false">EDATE(StartDate,A294-1)</f>
        <v>46508</v>
      </c>
      <c r="C294" s="24" t="str">
        <f aca="false">Monthly!$B$16</f>
        <v>EnergyWave, Inc.</v>
      </c>
      <c r="D294" s="24" t="str">
        <f aca="false">Monthly!$C$16</f>
        <v>Consulting</v>
      </c>
      <c r="E294" s="24" t="str">
        <f aca="false">Monthly!$D$16</f>
        <v>Consulting fee</v>
      </c>
      <c r="F294" s="24" t="str">
        <f aca="false">Monthly!$A$16</f>
        <v>Theoretical Physicist — consulting agreement 2</v>
      </c>
      <c r="G294" s="20" t="n">
        <f aca="false">Monthly!J$16</f>
        <v>41666.6666666667</v>
      </c>
      <c r="H294" s="24" t="str">
        <f aca="false">ScenarioName</f>
        <v>Base</v>
      </c>
    </row>
    <row r="295" customFormat="false" ht="15" hidden="false" customHeight="false" outlineLevel="0" collapsed="false">
      <c r="A295" s="8" t="n">
        <v>6</v>
      </c>
      <c r="B295" s="39" t="n">
        <f aca="false">EDATE(StartDate,A295-1)</f>
        <v>46539</v>
      </c>
      <c r="C295" s="24" t="str">
        <f aca="false">Monthly!$B$16</f>
        <v>EnergyWave, Inc.</v>
      </c>
      <c r="D295" s="24" t="str">
        <f aca="false">Monthly!$C$16</f>
        <v>Consulting</v>
      </c>
      <c r="E295" s="24" t="str">
        <f aca="false">Monthly!$D$16</f>
        <v>Consulting fee</v>
      </c>
      <c r="F295" s="24" t="str">
        <f aca="false">Monthly!$A$16</f>
        <v>Theoretical Physicist — consulting agreement 2</v>
      </c>
      <c r="G295" s="20" t="n">
        <f aca="false">Monthly!K$16</f>
        <v>41666.6666666667</v>
      </c>
      <c r="H295" s="24" t="str">
        <f aca="false">ScenarioName</f>
        <v>Base</v>
      </c>
    </row>
    <row r="296" customFormat="false" ht="15" hidden="false" customHeight="false" outlineLevel="0" collapsed="false">
      <c r="A296" s="8" t="n">
        <v>7</v>
      </c>
      <c r="B296" s="39" t="n">
        <f aca="false">EDATE(StartDate,A296-1)</f>
        <v>46569</v>
      </c>
      <c r="C296" s="24" t="str">
        <f aca="false">Monthly!$B$16</f>
        <v>EnergyWave, Inc.</v>
      </c>
      <c r="D296" s="24" t="str">
        <f aca="false">Monthly!$C$16</f>
        <v>Consulting</v>
      </c>
      <c r="E296" s="24" t="str">
        <f aca="false">Monthly!$D$16</f>
        <v>Consulting fee</v>
      </c>
      <c r="F296" s="24" t="str">
        <f aca="false">Monthly!$A$16</f>
        <v>Theoretical Physicist — consulting agreement 2</v>
      </c>
      <c r="G296" s="20" t="n">
        <f aca="false">Monthly!L$16</f>
        <v>41666.6666666667</v>
      </c>
      <c r="H296" s="24" t="str">
        <f aca="false">ScenarioName</f>
        <v>Base</v>
      </c>
    </row>
    <row r="297" customFormat="false" ht="15" hidden="false" customHeight="false" outlineLevel="0" collapsed="false">
      <c r="A297" s="8" t="n">
        <v>8</v>
      </c>
      <c r="B297" s="39" t="n">
        <f aca="false">EDATE(StartDate,A297-1)</f>
        <v>46600</v>
      </c>
      <c r="C297" s="24" t="str">
        <f aca="false">Monthly!$B$16</f>
        <v>EnergyWave, Inc.</v>
      </c>
      <c r="D297" s="24" t="str">
        <f aca="false">Monthly!$C$16</f>
        <v>Consulting</v>
      </c>
      <c r="E297" s="24" t="str">
        <f aca="false">Monthly!$D$16</f>
        <v>Consulting fee</v>
      </c>
      <c r="F297" s="24" t="str">
        <f aca="false">Monthly!$A$16</f>
        <v>Theoretical Physicist — consulting agreement 2</v>
      </c>
      <c r="G297" s="20" t="n">
        <f aca="false">Monthly!M$16</f>
        <v>41666.6666666667</v>
      </c>
      <c r="H297" s="24" t="str">
        <f aca="false">ScenarioName</f>
        <v>Base</v>
      </c>
    </row>
    <row r="298" customFormat="false" ht="15" hidden="false" customHeight="false" outlineLevel="0" collapsed="false">
      <c r="A298" s="8" t="n">
        <v>9</v>
      </c>
      <c r="B298" s="39" t="n">
        <f aca="false">EDATE(StartDate,A298-1)</f>
        <v>46631</v>
      </c>
      <c r="C298" s="24" t="str">
        <f aca="false">Monthly!$B$16</f>
        <v>EnergyWave, Inc.</v>
      </c>
      <c r="D298" s="24" t="str">
        <f aca="false">Monthly!$C$16</f>
        <v>Consulting</v>
      </c>
      <c r="E298" s="24" t="str">
        <f aca="false">Monthly!$D$16</f>
        <v>Consulting fee</v>
      </c>
      <c r="F298" s="24" t="str">
        <f aca="false">Monthly!$A$16</f>
        <v>Theoretical Physicist — consulting agreement 2</v>
      </c>
      <c r="G298" s="20" t="n">
        <f aca="false">Monthly!N$16</f>
        <v>41666.6666666667</v>
      </c>
      <c r="H298" s="24" t="str">
        <f aca="false">ScenarioName</f>
        <v>Base</v>
      </c>
    </row>
    <row r="299" customFormat="false" ht="15" hidden="false" customHeight="false" outlineLevel="0" collapsed="false">
      <c r="A299" s="8" t="n">
        <v>10</v>
      </c>
      <c r="B299" s="39" t="n">
        <f aca="false">EDATE(StartDate,A299-1)</f>
        <v>46661</v>
      </c>
      <c r="C299" s="24" t="str">
        <f aca="false">Monthly!$B$16</f>
        <v>EnergyWave, Inc.</v>
      </c>
      <c r="D299" s="24" t="str">
        <f aca="false">Monthly!$C$16</f>
        <v>Consulting</v>
      </c>
      <c r="E299" s="24" t="str">
        <f aca="false">Monthly!$D$16</f>
        <v>Consulting fee</v>
      </c>
      <c r="F299" s="24" t="str">
        <f aca="false">Monthly!$A$16</f>
        <v>Theoretical Physicist — consulting agreement 2</v>
      </c>
      <c r="G299" s="20" t="n">
        <f aca="false">Monthly!O$16</f>
        <v>41666.6666666667</v>
      </c>
      <c r="H299" s="24" t="str">
        <f aca="false">ScenarioName</f>
        <v>Base</v>
      </c>
    </row>
    <row r="300" customFormat="false" ht="15" hidden="false" customHeight="false" outlineLevel="0" collapsed="false">
      <c r="A300" s="8" t="n">
        <v>11</v>
      </c>
      <c r="B300" s="39" t="n">
        <f aca="false">EDATE(StartDate,A300-1)</f>
        <v>46692</v>
      </c>
      <c r="C300" s="24" t="str">
        <f aca="false">Monthly!$B$16</f>
        <v>EnergyWave, Inc.</v>
      </c>
      <c r="D300" s="24" t="str">
        <f aca="false">Monthly!$C$16</f>
        <v>Consulting</v>
      </c>
      <c r="E300" s="24" t="str">
        <f aca="false">Monthly!$D$16</f>
        <v>Consulting fee</v>
      </c>
      <c r="F300" s="24" t="str">
        <f aca="false">Monthly!$A$16</f>
        <v>Theoretical Physicist — consulting agreement 2</v>
      </c>
      <c r="G300" s="20" t="n">
        <f aca="false">Monthly!P$16</f>
        <v>41666.6666666667</v>
      </c>
      <c r="H300" s="24" t="str">
        <f aca="false">ScenarioName</f>
        <v>Base</v>
      </c>
    </row>
    <row r="301" customFormat="false" ht="15" hidden="false" customHeight="false" outlineLevel="0" collapsed="false">
      <c r="A301" s="8" t="n">
        <v>12</v>
      </c>
      <c r="B301" s="39" t="n">
        <f aca="false">EDATE(StartDate,A301-1)</f>
        <v>46722</v>
      </c>
      <c r="C301" s="24" t="str">
        <f aca="false">Monthly!$B$16</f>
        <v>EnergyWave, Inc.</v>
      </c>
      <c r="D301" s="24" t="str">
        <f aca="false">Monthly!$C$16</f>
        <v>Consulting</v>
      </c>
      <c r="E301" s="24" t="str">
        <f aca="false">Monthly!$D$16</f>
        <v>Consulting fee</v>
      </c>
      <c r="F301" s="24" t="str">
        <f aca="false">Monthly!$A$16</f>
        <v>Theoretical Physicist — consulting agreement 2</v>
      </c>
      <c r="G301" s="20" t="n">
        <f aca="false">Monthly!Q$16</f>
        <v>41666.6666666667</v>
      </c>
      <c r="H301" s="24" t="str">
        <f aca="false">ScenarioName</f>
        <v>Base</v>
      </c>
    </row>
    <row r="302" customFormat="false" ht="15" hidden="false" customHeight="false" outlineLevel="0" collapsed="false">
      <c r="A302" s="8" t="n">
        <v>13</v>
      </c>
      <c r="B302" s="39" t="n">
        <f aca="false">EDATE(StartDate,A302-1)</f>
        <v>46753</v>
      </c>
      <c r="C302" s="24" t="str">
        <f aca="false">Monthly!$B$16</f>
        <v>EnergyWave, Inc.</v>
      </c>
      <c r="D302" s="24" t="str">
        <f aca="false">Monthly!$C$16</f>
        <v>Consulting</v>
      </c>
      <c r="E302" s="24" t="str">
        <f aca="false">Monthly!$D$16</f>
        <v>Consulting fee</v>
      </c>
      <c r="F302" s="24" t="str">
        <f aca="false">Monthly!$A$16</f>
        <v>Theoretical Physicist — consulting agreement 2</v>
      </c>
      <c r="G302" s="20" t="n">
        <f aca="false">Monthly!R$16</f>
        <v>41666.6666666667</v>
      </c>
      <c r="H302" s="24" t="str">
        <f aca="false">ScenarioName</f>
        <v>Base</v>
      </c>
    </row>
    <row r="303" customFormat="false" ht="15" hidden="false" customHeight="false" outlineLevel="0" collapsed="false">
      <c r="A303" s="8" t="n">
        <v>14</v>
      </c>
      <c r="B303" s="39" t="n">
        <f aca="false">EDATE(StartDate,A303-1)</f>
        <v>46784</v>
      </c>
      <c r="C303" s="24" t="str">
        <f aca="false">Monthly!$B$16</f>
        <v>EnergyWave, Inc.</v>
      </c>
      <c r="D303" s="24" t="str">
        <f aca="false">Monthly!$C$16</f>
        <v>Consulting</v>
      </c>
      <c r="E303" s="24" t="str">
        <f aca="false">Monthly!$D$16</f>
        <v>Consulting fee</v>
      </c>
      <c r="F303" s="24" t="str">
        <f aca="false">Monthly!$A$16</f>
        <v>Theoretical Physicist — consulting agreement 2</v>
      </c>
      <c r="G303" s="20" t="n">
        <f aca="false">Monthly!S$16</f>
        <v>41666.6666666667</v>
      </c>
      <c r="H303" s="24" t="str">
        <f aca="false">ScenarioName</f>
        <v>Base</v>
      </c>
    </row>
    <row r="304" customFormat="false" ht="15" hidden="false" customHeight="false" outlineLevel="0" collapsed="false">
      <c r="A304" s="8" t="n">
        <v>15</v>
      </c>
      <c r="B304" s="39" t="n">
        <f aca="false">EDATE(StartDate,A304-1)</f>
        <v>46813</v>
      </c>
      <c r="C304" s="24" t="str">
        <f aca="false">Monthly!$B$16</f>
        <v>EnergyWave, Inc.</v>
      </c>
      <c r="D304" s="24" t="str">
        <f aca="false">Monthly!$C$16</f>
        <v>Consulting</v>
      </c>
      <c r="E304" s="24" t="str">
        <f aca="false">Monthly!$D$16</f>
        <v>Consulting fee</v>
      </c>
      <c r="F304" s="24" t="str">
        <f aca="false">Monthly!$A$16</f>
        <v>Theoretical Physicist — consulting agreement 2</v>
      </c>
      <c r="G304" s="20" t="n">
        <f aca="false">Monthly!T$16</f>
        <v>41666.6666666667</v>
      </c>
      <c r="H304" s="24" t="str">
        <f aca="false">ScenarioName</f>
        <v>Base</v>
      </c>
    </row>
    <row r="305" customFormat="false" ht="15" hidden="false" customHeight="false" outlineLevel="0" collapsed="false">
      <c r="A305" s="8" t="n">
        <v>16</v>
      </c>
      <c r="B305" s="39" t="n">
        <f aca="false">EDATE(StartDate,A305-1)</f>
        <v>46844</v>
      </c>
      <c r="C305" s="24" t="str">
        <f aca="false">Monthly!$B$16</f>
        <v>EnergyWave, Inc.</v>
      </c>
      <c r="D305" s="24" t="str">
        <f aca="false">Monthly!$C$16</f>
        <v>Consulting</v>
      </c>
      <c r="E305" s="24" t="str">
        <f aca="false">Monthly!$D$16</f>
        <v>Consulting fee</v>
      </c>
      <c r="F305" s="24" t="str">
        <f aca="false">Monthly!$A$16</f>
        <v>Theoretical Physicist — consulting agreement 2</v>
      </c>
      <c r="G305" s="20" t="n">
        <f aca="false">Monthly!U$16</f>
        <v>41666.6666666667</v>
      </c>
      <c r="H305" s="24" t="str">
        <f aca="false">ScenarioName</f>
        <v>Base</v>
      </c>
    </row>
    <row r="306" customFormat="false" ht="15" hidden="false" customHeight="false" outlineLevel="0" collapsed="false">
      <c r="A306" s="8" t="n">
        <v>17</v>
      </c>
      <c r="B306" s="39" t="n">
        <f aca="false">EDATE(StartDate,A306-1)</f>
        <v>46874</v>
      </c>
      <c r="C306" s="24" t="str">
        <f aca="false">Monthly!$B$16</f>
        <v>EnergyWave, Inc.</v>
      </c>
      <c r="D306" s="24" t="str">
        <f aca="false">Monthly!$C$16</f>
        <v>Consulting</v>
      </c>
      <c r="E306" s="24" t="str">
        <f aca="false">Monthly!$D$16</f>
        <v>Consulting fee</v>
      </c>
      <c r="F306" s="24" t="str">
        <f aca="false">Monthly!$A$16</f>
        <v>Theoretical Physicist — consulting agreement 2</v>
      </c>
      <c r="G306" s="20" t="n">
        <f aca="false">Monthly!V$16</f>
        <v>41666.6666666667</v>
      </c>
      <c r="H306" s="24" t="str">
        <f aca="false">ScenarioName</f>
        <v>Base</v>
      </c>
    </row>
    <row r="307" customFormat="false" ht="15" hidden="false" customHeight="false" outlineLevel="0" collapsed="false">
      <c r="A307" s="8" t="n">
        <v>18</v>
      </c>
      <c r="B307" s="39" t="n">
        <f aca="false">EDATE(StartDate,A307-1)</f>
        <v>46905</v>
      </c>
      <c r="C307" s="24" t="str">
        <f aca="false">Monthly!$B$16</f>
        <v>EnergyWave, Inc.</v>
      </c>
      <c r="D307" s="24" t="str">
        <f aca="false">Monthly!$C$16</f>
        <v>Consulting</v>
      </c>
      <c r="E307" s="24" t="str">
        <f aca="false">Monthly!$D$16</f>
        <v>Consulting fee</v>
      </c>
      <c r="F307" s="24" t="str">
        <f aca="false">Monthly!$A$16</f>
        <v>Theoretical Physicist — consulting agreement 2</v>
      </c>
      <c r="G307" s="20" t="n">
        <f aca="false">Monthly!W$16</f>
        <v>41666.6666666667</v>
      </c>
      <c r="H307" s="24" t="str">
        <f aca="false">ScenarioName</f>
        <v>Base</v>
      </c>
    </row>
    <row r="308" customFormat="false" ht="15" hidden="false" customHeight="false" outlineLevel="0" collapsed="false">
      <c r="A308" s="8" t="n">
        <v>19</v>
      </c>
      <c r="B308" s="39" t="n">
        <f aca="false">EDATE(StartDate,A308-1)</f>
        <v>46935</v>
      </c>
      <c r="C308" s="24" t="str">
        <f aca="false">Monthly!$B$16</f>
        <v>EnergyWave, Inc.</v>
      </c>
      <c r="D308" s="24" t="str">
        <f aca="false">Monthly!$C$16</f>
        <v>Consulting</v>
      </c>
      <c r="E308" s="24" t="str">
        <f aca="false">Monthly!$D$16</f>
        <v>Consulting fee</v>
      </c>
      <c r="F308" s="24" t="str">
        <f aca="false">Monthly!$A$16</f>
        <v>Theoretical Physicist — consulting agreement 2</v>
      </c>
      <c r="G308" s="20" t="n">
        <f aca="false">Monthly!X$16</f>
        <v>41666.6666666667</v>
      </c>
      <c r="H308" s="24" t="str">
        <f aca="false">ScenarioName</f>
        <v>Base</v>
      </c>
    </row>
    <row r="309" customFormat="false" ht="15" hidden="false" customHeight="false" outlineLevel="0" collapsed="false">
      <c r="A309" s="8" t="n">
        <v>20</v>
      </c>
      <c r="B309" s="39" t="n">
        <f aca="false">EDATE(StartDate,A309-1)</f>
        <v>46966</v>
      </c>
      <c r="C309" s="24" t="str">
        <f aca="false">Monthly!$B$16</f>
        <v>EnergyWave, Inc.</v>
      </c>
      <c r="D309" s="24" t="str">
        <f aca="false">Monthly!$C$16</f>
        <v>Consulting</v>
      </c>
      <c r="E309" s="24" t="str">
        <f aca="false">Monthly!$D$16</f>
        <v>Consulting fee</v>
      </c>
      <c r="F309" s="24" t="str">
        <f aca="false">Monthly!$A$16</f>
        <v>Theoretical Physicist — consulting agreement 2</v>
      </c>
      <c r="G309" s="20" t="n">
        <f aca="false">Monthly!Y$16</f>
        <v>41666.6666666667</v>
      </c>
      <c r="H309" s="24" t="str">
        <f aca="false">ScenarioName</f>
        <v>Base</v>
      </c>
    </row>
    <row r="310" customFormat="false" ht="15" hidden="false" customHeight="false" outlineLevel="0" collapsed="false">
      <c r="A310" s="8" t="n">
        <v>21</v>
      </c>
      <c r="B310" s="39" t="n">
        <f aca="false">EDATE(StartDate,A310-1)</f>
        <v>46997</v>
      </c>
      <c r="C310" s="24" t="str">
        <f aca="false">Monthly!$B$16</f>
        <v>EnergyWave, Inc.</v>
      </c>
      <c r="D310" s="24" t="str">
        <f aca="false">Monthly!$C$16</f>
        <v>Consulting</v>
      </c>
      <c r="E310" s="24" t="str">
        <f aca="false">Monthly!$D$16</f>
        <v>Consulting fee</v>
      </c>
      <c r="F310" s="24" t="str">
        <f aca="false">Monthly!$A$16</f>
        <v>Theoretical Physicist — consulting agreement 2</v>
      </c>
      <c r="G310" s="20" t="n">
        <f aca="false">Monthly!Z$16</f>
        <v>41666.6666666667</v>
      </c>
      <c r="H310" s="24" t="str">
        <f aca="false">ScenarioName</f>
        <v>Base</v>
      </c>
    </row>
    <row r="311" customFormat="false" ht="15" hidden="false" customHeight="false" outlineLevel="0" collapsed="false">
      <c r="A311" s="8" t="n">
        <v>22</v>
      </c>
      <c r="B311" s="39" t="n">
        <f aca="false">EDATE(StartDate,A311-1)</f>
        <v>47027</v>
      </c>
      <c r="C311" s="24" t="str">
        <f aca="false">Monthly!$B$16</f>
        <v>EnergyWave, Inc.</v>
      </c>
      <c r="D311" s="24" t="str">
        <f aca="false">Monthly!$C$16</f>
        <v>Consulting</v>
      </c>
      <c r="E311" s="24" t="str">
        <f aca="false">Monthly!$D$16</f>
        <v>Consulting fee</v>
      </c>
      <c r="F311" s="24" t="str">
        <f aca="false">Monthly!$A$16</f>
        <v>Theoretical Physicist — consulting agreement 2</v>
      </c>
      <c r="G311" s="20" t="n">
        <f aca="false">Monthly!AA$16</f>
        <v>41666.6666666667</v>
      </c>
      <c r="H311" s="24" t="str">
        <f aca="false">ScenarioName</f>
        <v>Base</v>
      </c>
    </row>
    <row r="312" customFormat="false" ht="15" hidden="false" customHeight="false" outlineLevel="0" collapsed="false">
      <c r="A312" s="8" t="n">
        <v>23</v>
      </c>
      <c r="B312" s="39" t="n">
        <f aca="false">EDATE(StartDate,A312-1)</f>
        <v>47058</v>
      </c>
      <c r="C312" s="24" t="str">
        <f aca="false">Monthly!$B$16</f>
        <v>EnergyWave, Inc.</v>
      </c>
      <c r="D312" s="24" t="str">
        <f aca="false">Monthly!$C$16</f>
        <v>Consulting</v>
      </c>
      <c r="E312" s="24" t="str">
        <f aca="false">Monthly!$D$16</f>
        <v>Consulting fee</v>
      </c>
      <c r="F312" s="24" t="str">
        <f aca="false">Monthly!$A$16</f>
        <v>Theoretical Physicist — consulting agreement 2</v>
      </c>
      <c r="G312" s="20" t="n">
        <f aca="false">Monthly!AB$16</f>
        <v>41666.6666666667</v>
      </c>
      <c r="H312" s="24" t="str">
        <f aca="false">ScenarioName</f>
        <v>Base</v>
      </c>
    </row>
    <row r="313" customFormat="false" ht="15" hidden="false" customHeight="false" outlineLevel="0" collapsed="false">
      <c r="A313" s="8" t="n">
        <v>24</v>
      </c>
      <c r="B313" s="39" t="n">
        <f aca="false">EDATE(StartDate,A313-1)</f>
        <v>47088</v>
      </c>
      <c r="C313" s="24" t="str">
        <f aca="false">Monthly!$B$16</f>
        <v>EnergyWave, Inc.</v>
      </c>
      <c r="D313" s="24" t="str">
        <f aca="false">Monthly!$C$16</f>
        <v>Consulting</v>
      </c>
      <c r="E313" s="24" t="str">
        <f aca="false">Monthly!$D$16</f>
        <v>Consulting fee</v>
      </c>
      <c r="F313" s="24" t="str">
        <f aca="false">Monthly!$A$16</f>
        <v>Theoretical Physicist — consulting agreement 2</v>
      </c>
      <c r="G313" s="20" t="n">
        <f aca="false">Monthly!AC$16</f>
        <v>41666.6666666667</v>
      </c>
      <c r="H313" s="24" t="str">
        <f aca="false">ScenarioName</f>
        <v>Base</v>
      </c>
    </row>
    <row r="314" customFormat="false" ht="15" hidden="false" customHeight="false" outlineLevel="0" collapsed="false">
      <c r="A314" s="8" t="n">
        <v>25</v>
      </c>
      <c r="B314" s="39" t="n">
        <f aca="false">EDATE(StartDate,A314-1)</f>
        <v>47119</v>
      </c>
      <c r="C314" s="24" t="str">
        <f aca="false">Monthly!$B$16</f>
        <v>EnergyWave, Inc.</v>
      </c>
      <c r="D314" s="24" t="str">
        <f aca="false">Monthly!$C$16</f>
        <v>Consulting</v>
      </c>
      <c r="E314" s="24" t="str">
        <f aca="false">Monthly!$D$16</f>
        <v>Consulting fee</v>
      </c>
      <c r="F314" s="24" t="str">
        <f aca="false">Monthly!$A$16</f>
        <v>Theoretical Physicist — consulting agreement 2</v>
      </c>
      <c r="G314" s="20" t="n">
        <f aca="false">Monthly!AD$16</f>
        <v>41666.6666666667</v>
      </c>
      <c r="H314" s="24" t="str">
        <f aca="false">ScenarioName</f>
        <v>Base</v>
      </c>
    </row>
    <row r="315" customFormat="false" ht="15" hidden="false" customHeight="false" outlineLevel="0" collapsed="false">
      <c r="A315" s="8" t="n">
        <v>26</v>
      </c>
      <c r="B315" s="39" t="n">
        <f aca="false">EDATE(StartDate,A315-1)</f>
        <v>47150</v>
      </c>
      <c r="C315" s="24" t="str">
        <f aca="false">Monthly!$B$16</f>
        <v>EnergyWave, Inc.</v>
      </c>
      <c r="D315" s="24" t="str">
        <f aca="false">Monthly!$C$16</f>
        <v>Consulting</v>
      </c>
      <c r="E315" s="24" t="str">
        <f aca="false">Monthly!$D$16</f>
        <v>Consulting fee</v>
      </c>
      <c r="F315" s="24" t="str">
        <f aca="false">Monthly!$A$16</f>
        <v>Theoretical Physicist — consulting agreement 2</v>
      </c>
      <c r="G315" s="20" t="n">
        <f aca="false">Monthly!AE$16</f>
        <v>41666.6666666667</v>
      </c>
      <c r="H315" s="24" t="str">
        <f aca="false">ScenarioName</f>
        <v>Base</v>
      </c>
    </row>
    <row r="316" customFormat="false" ht="15" hidden="false" customHeight="false" outlineLevel="0" collapsed="false">
      <c r="A316" s="8" t="n">
        <v>27</v>
      </c>
      <c r="B316" s="39" t="n">
        <f aca="false">EDATE(StartDate,A316-1)</f>
        <v>47178</v>
      </c>
      <c r="C316" s="24" t="str">
        <f aca="false">Monthly!$B$16</f>
        <v>EnergyWave, Inc.</v>
      </c>
      <c r="D316" s="24" t="str">
        <f aca="false">Monthly!$C$16</f>
        <v>Consulting</v>
      </c>
      <c r="E316" s="24" t="str">
        <f aca="false">Monthly!$D$16</f>
        <v>Consulting fee</v>
      </c>
      <c r="F316" s="24" t="str">
        <f aca="false">Monthly!$A$16</f>
        <v>Theoretical Physicist — consulting agreement 2</v>
      </c>
      <c r="G316" s="20" t="n">
        <f aca="false">Monthly!AF$16</f>
        <v>41666.6666666667</v>
      </c>
      <c r="H316" s="24" t="str">
        <f aca="false">ScenarioName</f>
        <v>Base</v>
      </c>
    </row>
    <row r="317" customFormat="false" ht="15" hidden="false" customHeight="false" outlineLevel="0" collapsed="false">
      <c r="A317" s="8" t="n">
        <v>28</v>
      </c>
      <c r="B317" s="39" t="n">
        <f aca="false">EDATE(StartDate,A317-1)</f>
        <v>47209</v>
      </c>
      <c r="C317" s="24" t="str">
        <f aca="false">Monthly!$B$16</f>
        <v>EnergyWave, Inc.</v>
      </c>
      <c r="D317" s="24" t="str">
        <f aca="false">Monthly!$C$16</f>
        <v>Consulting</v>
      </c>
      <c r="E317" s="24" t="str">
        <f aca="false">Monthly!$D$16</f>
        <v>Consulting fee</v>
      </c>
      <c r="F317" s="24" t="str">
        <f aca="false">Monthly!$A$16</f>
        <v>Theoretical Physicist — consulting agreement 2</v>
      </c>
      <c r="G317" s="20" t="n">
        <f aca="false">Monthly!AG$16</f>
        <v>41666.6666666667</v>
      </c>
      <c r="H317" s="24" t="str">
        <f aca="false">ScenarioName</f>
        <v>Base</v>
      </c>
    </row>
    <row r="318" customFormat="false" ht="15" hidden="false" customHeight="false" outlineLevel="0" collapsed="false">
      <c r="A318" s="8" t="n">
        <v>29</v>
      </c>
      <c r="B318" s="39" t="n">
        <f aca="false">EDATE(StartDate,A318-1)</f>
        <v>47239</v>
      </c>
      <c r="C318" s="24" t="str">
        <f aca="false">Monthly!$B$16</f>
        <v>EnergyWave, Inc.</v>
      </c>
      <c r="D318" s="24" t="str">
        <f aca="false">Monthly!$C$16</f>
        <v>Consulting</v>
      </c>
      <c r="E318" s="24" t="str">
        <f aca="false">Monthly!$D$16</f>
        <v>Consulting fee</v>
      </c>
      <c r="F318" s="24" t="str">
        <f aca="false">Monthly!$A$16</f>
        <v>Theoretical Physicist — consulting agreement 2</v>
      </c>
      <c r="G318" s="20" t="n">
        <f aca="false">Monthly!AH$16</f>
        <v>41666.6666666667</v>
      </c>
      <c r="H318" s="24" t="str">
        <f aca="false">ScenarioName</f>
        <v>Base</v>
      </c>
    </row>
    <row r="319" customFormat="false" ht="15" hidden="false" customHeight="false" outlineLevel="0" collapsed="false">
      <c r="A319" s="8" t="n">
        <v>30</v>
      </c>
      <c r="B319" s="39" t="n">
        <f aca="false">EDATE(StartDate,A319-1)</f>
        <v>47270</v>
      </c>
      <c r="C319" s="24" t="str">
        <f aca="false">Monthly!$B$16</f>
        <v>EnergyWave, Inc.</v>
      </c>
      <c r="D319" s="24" t="str">
        <f aca="false">Monthly!$C$16</f>
        <v>Consulting</v>
      </c>
      <c r="E319" s="24" t="str">
        <f aca="false">Monthly!$D$16</f>
        <v>Consulting fee</v>
      </c>
      <c r="F319" s="24" t="str">
        <f aca="false">Monthly!$A$16</f>
        <v>Theoretical Physicist — consulting agreement 2</v>
      </c>
      <c r="G319" s="20" t="n">
        <f aca="false">Monthly!AI$16</f>
        <v>41666.6666666667</v>
      </c>
      <c r="H319" s="24" t="str">
        <f aca="false">ScenarioName</f>
        <v>Base</v>
      </c>
    </row>
    <row r="320" customFormat="false" ht="15" hidden="false" customHeight="false" outlineLevel="0" collapsed="false">
      <c r="A320" s="8" t="n">
        <v>31</v>
      </c>
      <c r="B320" s="39" t="n">
        <f aca="false">EDATE(StartDate,A320-1)</f>
        <v>47300</v>
      </c>
      <c r="C320" s="24" t="str">
        <f aca="false">Monthly!$B$16</f>
        <v>EnergyWave, Inc.</v>
      </c>
      <c r="D320" s="24" t="str">
        <f aca="false">Monthly!$C$16</f>
        <v>Consulting</v>
      </c>
      <c r="E320" s="24" t="str">
        <f aca="false">Monthly!$D$16</f>
        <v>Consulting fee</v>
      </c>
      <c r="F320" s="24" t="str">
        <f aca="false">Monthly!$A$16</f>
        <v>Theoretical Physicist — consulting agreement 2</v>
      </c>
      <c r="G320" s="20" t="n">
        <f aca="false">Monthly!AJ$16</f>
        <v>41666.6666666667</v>
      </c>
      <c r="H320" s="24" t="str">
        <f aca="false">ScenarioName</f>
        <v>Base</v>
      </c>
    </row>
    <row r="321" customFormat="false" ht="15" hidden="false" customHeight="false" outlineLevel="0" collapsed="false">
      <c r="A321" s="8" t="n">
        <v>32</v>
      </c>
      <c r="B321" s="39" t="n">
        <f aca="false">EDATE(StartDate,A321-1)</f>
        <v>47331</v>
      </c>
      <c r="C321" s="24" t="str">
        <f aca="false">Monthly!$B$16</f>
        <v>EnergyWave, Inc.</v>
      </c>
      <c r="D321" s="24" t="str">
        <f aca="false">Monthly!$C$16</f>
        <v>Consulting</v>
      </c>
      <c r="E321" s="24" t="str">
        <f aca="false">Monthly!$D$16</f>
        <v>Consulting fee</v>
      </c>
      <c r="F321" s="24" t="str">
        <f aca="false">Monthly!$A$16</f>
        <v>Theoretical Physicist — consulting agreement 2</v>
      </c>
      <c r="G321" s="20" t="n">
        <f aca="false">Monthly!AK$16</f>
        <v>41666.6666666667</v>
      </c>
      <c r="H321" s="24" t="str">
        <f aca="false">ScenarioName</f>
        <v>Base</v>
      </c>
    </row>
    <row r="322" customFormat="false" ht="15" hidden="false" customHeight="false" outlineLevel="0" collapsed="false">
      <c r="A322" s="8" t="n">
        <v>33</v>
      </c>
      <c r="B322" s="39" t="n">
        <f aca="false">EDATE(StartDate,A322-1)</f>
        <v>47362</v>
      </c>
      <c r="C322" s="24" t="str">
        <f aca="false">Monthly!$B$16</f>
        <v>EnergyWave, Inc.</v>
      </c>
      <c r="D322" s="24" t="str">
        <f aca="false">Monthly!$C$16</f>
        <v>Consulting</v>
      </c>
      <c r="E322" s="24" t="str">
        <f aca="false">Monthly!$D$16</f>
        <v>Consulting fee</v>
      </c>
      <c r="F322" s="24" t="str">
        <f aca="false">Monthly!$A$16</f>
        <v>Theoretical Physicist — consulting agreement 2</v>
      </c>
      <c r="G322" s="20" t="n">
        <f aca="false">Monthly!AL$16</f>
        <v>41666.6666666667</v>
      </c>
      <c r="H322" s="24" t="str">
        <f aca="false">ScenarioName</f>
        <v>Base</v>
      </c>
    </row>
    <row r="323" customFormat="false" ht="15" hidden="false" customHeight="false" outlineLevel="0" collapsed="false">
      <c r="A323" s="8" t="n">
        <v>34</v>
      </c>
      <c r="B323" s="39" t="n">
        <f aca="false">EDATE(StartDate,A323-1)</f>
        <v>47392</v>
      </c>
      <c r="C323" s="24" t="str">
        <f aca="false">Monthly!$B$16</f>
        <v>EnergyWave, Inc.</v>
      </c>
      <c r="D323" s="24" t="str">
        <f aca="false">Monthly!$C$16</f>
        <v>Consulting</v>
      </c>
      <c r="E323" s="24" t="str">
        <f aca="false">Monthly!$D$16</f>
        <v>Consulting fee</v>
      </c>
      <c r="F323" s="24" t="str">
        <f aca="false">Monthly!$A$16</f>
        <v>Theoretical Physicist — consulting agreement 2</v>
      </c>
      <c r="G323" s="20" t="n">
        <f aca="false">Monthly!AM$16</f>
        <v>41666.6666666667</v>
      </c>
      <c r="H323" s="24" t="str">
        <f aca="false">ScenarioName</f>
        <v>Base</v>
      </c>
    </row>
    <row r="324" customFormat="false" ht="15" hidden="false" customHeight="false" outlineLevel="0" collapsed="false">
      <c r="A324" s="8" t="n">
        <v>35</v>
      </c>
      <c r="B324" s="39" t="n">
        <f aca="false">EDATE(StartDate,A324-1)</f>
        <v>47423</v>
      </c>
      <c r="C324" s="24" t="str">
        <f aca="false">Monthly!$B$16</f>
        <v>EnergyWave, Inc.</v>
      </c>
      <c r="D324" s="24" t="str">
        <f aca="false">Monthly!$C$16</f>
        <v>Consulting</v>
      </c>
      <c r="E324" s="24" t="str">
        <f aca="false">Monthly!$D$16</f>
        <v>Consulting fee</v>
      </c>
      <c r="F324" s="24" t="str">
        <f aca="false">Monthly!$A$16</f>
        <v>Theoretical Physicist — consulting agreement 2</v>
      </c>
      <c r="G324" s="20" t="n">
        <f aca="false">Monthly!AN$16</f>
        <v>41666.6666666667</v>
      </c>
      <c r="H324" s="24" t="str">
        <f aca="false">ScenarioName</f>
        <v>Base</v>
      </c>
    </row>
    <row r="325" customFormat="false" ht="15" hidden="false" customHeight="false" outlineLevel="0" collapsed="false">
      <c r="A325" s="8" t="n">
        <v>36</v>
      </c>
      <c r="B325" s="39" t="n">
        <f aca="false">EDATE(StartDate,A325-1)</f>
        <v>47453</v>
      </c>
      <c r="C325" s="24" t="str">
        <f aca="false">Monthly!$B$16</f>
        <v>EnergyWave, Inc.</v>
      </c>
      <c r="D325" s="24" t="str">
        <f aca="false">Monthly!$C$16</f>
        <v>Consulting</v>
      </c>
      <c r="E325" s="24" t="str">
        <f aca="false">Monthly!$D$16</f>
        <v>Consulting fee</v>
      </c>
      <c r="F325" s="24" t="str">
        <f aca="false">Monthly!$A$16</f>
        <v>Theoretical Physicist — consulting agreement 2</v>
      </c>
      <c r="G325" s="20" t="n">
        <f aca="false">Monthly!AO$16</f>
        <v>41666.6666666667</v>
      </c>
      <c r="H325" s="24" t="str">
        <f aca="false">ScenarioName</f>
        <v>Base</v>
      </c>
    </row>
    <row r="326" customFormat="false" ht="15" hidden="false" customHeight="false" outlineLevel="0" collapsed="false">
      <c r="A326" s="8" t="n">
        <v>1</v>
      </c>
      <c r="B326" s="39" t="n">
        <f aca="false">EDATE(StartDate,A326-1)</f>
        <v>46388</v>
      </c>
      <c r="C326" s="24" t="str">
        <f aca="false">Monthly!$B$17</f>
        <v>EnergyWave, Inc.</v>
      </c>
      <c r="D326" s="24" t="str">
        <f aca="false">Monthly!$C$17</f>
        <v>Payroll</v>
      </c>
      <c r="E326" s="24" t="str">
        <f aca="false">Monthly!$D$17</f>
        <v>Salary &amp; load</v>
      </c>
      <c r="F326" s="24" t="str">
        <f aca="false">Monthly!$A$17</f>
        <v>Lab Safety / EHS Officer</v>
      </c>
      <c r="G326" s="20" t="n">
        <f aca="false">Monthly!F$17</f>
        <v>12200</v>
      </c>
      <c r="H326" s="24" t="str">
        <f aca="false">ScenarioName</f>
        <v>Base</v>
      </c>
    </row>
    <row r="327" customFormat="false" ht="15" hidden="false" customHeight="false" outlineLevel="0" collapsed="false">
      <c r="A327" s="8" t="n">
        <v>2</v>
      </c>
      <c r="B327" s="39" t="n">
        <f aca="false">EDATE(StartDate,A327-1)</f>
        <v>46419</v>
      </c>
      <c r="C327" s="24" t="str">
        <f aca="false">Monthly!$B$17</f>
        <v>EnergyWave, Inc.</v>
      </c>
      <c r="D327" s="24" t="str">
        <f aca="false">Monthly!$C$17</f>
        <v>Payroll</v>
      </c>
      <c r="E327" s="24" t="str">
        <f aca="false">Monthly!$D$17</f>
        <v>Salary &amp; load</v>
      </c>
      <c r="F327" s="24" t="str">
        <f aca="false">Monthly!$A$17</f>
        <v>Lab Safety / EHS Officer</v>
      </c>
      <c r="G327" s="20" t="n">
        <f aca="false">Monthly!G$17</f>
        <v>12200</v>
      </c>
      <c r="H327" s="24" t="str">
        <f aca="false">ScenarioName</f>
        <v>Base</v>
      </c>
    </row>
    <row r="328" customFormat="false" ht="15" hidden="false" customHeight="false" outlineLevel="0" collapsed="false">
      <c r="A328" s="8" t="n">
        <v>3</v>
      </c>
      <c r="B328" s="39" t="n">
        <f aca="false">EDATE(StartDate,A328-1)</f>
        <v>46447</v>
      </c>
      <c r="C328" s="24" t="str">
        <f aca="false">Monthly!$B$17</f>
        <v>EnergyWave, Inc.</v>
      </c>
      <c r="D328" s="24" t="str">
        <f aca="false">Monthly!$C$17</f>
        <v>Payroll</v>
      </c>
      <c r="E328" s="24" t="str">
        <f aca="false">Monthly!$D$17</f>
        <v>Salary &amp; load</v>
      </c>
      <c r="F328" s="24" t="str">
        <f aca="false">Monthly!$A$17</f>
        <v>Lab Safety / EHS Officer</v>
      </c>
      <c r="G328" s="20" t="n">
        <f aca="false">Monthly!H$17</f>
        <v>12200</v>
      </c>
      <c r="H328" s="24" t="str">
        <f aca="false">ScenarioName</f>
        <v>Base</v>
      </c>
    </row>
    <row r="329" customFormat="false" ht="15" hidden="false" customHeight="false" outlineLevel="0" collapsed="false">
      <c r="A329" s="8" t="n">
        <v>4</v>
      </c>
      <c r="B329" s="39" t="n">
        <f aca="false">EDATE(StartDate,A329-1)</f>
        <v>46478</v>
      </c>
      <c r="C329" s="24" t="str">
        <f aca="false">Monthly!$B$17</f>
        <v>EnergyWave, Inc.</v>
      </c>
      <c r="D329" s="24" t="str">
        <f aca="false">Monthly!$C$17</f>
        <v>Payroll</v>
      </c>
      <c r="E329" s="24" t="str">
        <f aca="false">Monthly!$D$17</f>
        <v>Salary &amp; load</v>
      </c>
      <c r="F329" s="24" t="str">
        <f aca="false">Monthly!$A$17</f>
        <v>Lab Safety / EHS Officer</v>
      </c>
      <c r="G329" s="20" t="n">
        <f aca="false">Monthly!I$17</f>
        <v>12200</v>
      </c>
      <c r="H329" s="24" t="str">
        <f aca="false">ScenarioName</f>
        <v>Base</v>
      </c>
    </row>
    <row r="330" customFormat="false" ht="15" hidden="false" customHeight="false" outlineLevel="0" collapsed="false">
      <c r="A330" s="8" t="n">
        <v>5</v>
      </c>
      <c r="B330" s="39" t="n">
        <f aca="false">EDATE(StartDate,A330-1)</f>
        <v>46508</v>
      </c>
      <c r="C330" s="24" t="str">
        <f aca="false">Monthly!$B$17</f>
        <v>EnergyWave, Inc.</v>
      </c>
      <c r="D330" s="24" t="str">
        <f aca="false">Monthly!$C$17</f>
        <v>Payroll</v>
      </c>
      <c r="E330" s="24" t="str">
        <f aca="false">Monthly!$D$17</f>
        <v>Salary &amp; load</v>
      </c>
      <c r="F330" s="24" t="str">
        <f aca="false">Monthly!$A$17</f>
        <v>Lab Safety / EHS Officer</v>
      </c>
      <c r="G330" s="20" t="n">
        <f aca="false">Monthly!J$17</f>
        <v>12200</v>
      </c>
      <c r="H330" s="24" t="str">
        <f aca="false">ScenarioName</f>
        <v>Base</v>
      </c>
    </row>
    <row r="331" customFormat="false" ht="15" hidden="false" customHeight="false" outlineLevel="0" collapsed="false">
      <c r="A331" s="8" t="n">
        <v>6</v>
      </c>
      <c r="B331" s="39" t="n">
        <f aca="false">EDATE(StartDate,A331-1)</f>
        <v>46539</v>
      </c>
      <c r="C331" s="24" t="str">
        <f aca="false">Monthly!$B$17</f>
        <v>EnergyWave, Inc.</v>
      </c>
      <c r="D331" s="24" t="str">
        <f aca="false">Monthly!$C$17</f>
        <v>Payroll</v>
      </c>
      <c r="E331" s="24" t="str">
        <f aca="false">Monthly!$D$17</f>
        <v>Salary &amp; load</v>
      </c>
      <c r="F331" s="24" t="str">
        <f aca="false">Monthly!$A$17</f>
        <v>Lab Safety / EHS Officer</v>
      </c>
      <c r="G331" s="20" t="n">
        <f aca="false">Monthly!K$17</f>
        <v>12200</v>
      </c>
      <c r="H331" s="24" t="str">
        <f aca="false">ScenarioName</f>
        <v>Base</v>
      </c>
    </row>
    <row r="332" customFormat="false" ht="15" hidden="false" customHeight="false" outlineLevel="0" collapsed="false">
      <c r="A332" s="8" t="n">
        <v>7</v>
      </c>
      <c r="B332" s="39" t="n">
        <f aca="false">EDATE(StartDate,A332-1)</f>
        <v>46569</v>
      </c>
      <c r="C332" s="24" t="str">
        <f aca="false">Monthly!$B$17</f>
        <v>EnergyWave, Inc.</v>
      </c>
      <c r="D332" s="24" t="str">
        <f aca="false">Monthly!$C$17</f>
        <v>Payroll</v>
      </c>
      <c r="E332" s="24" t="str">
        <f aca="false">Monthly!$D$17</f>
        <v>Salary &amp; load</v>
      </c>
      <c r="F332" s="24" t="str">
        <f aca="false">Monthly!$A$17</f>
        <v>Lab Safety / EHS Officer</v>
      </c>
      <c r="G332" s="20" t="n">
        <f aca="false">Monthly!L$17</f>
        <v>12200</v>
      </c>
      <c r="H332" s="24" t="str">
        <f aca="false">ScenarioName</f>
        <v>Base</v>
      </c>
    </row>
    <row r="333" customFormat="false" ht="15" hidden="false" customHeight="false" outlineLevel="0" collapsed="false">
      <c r="A333" s="8" t="n">
        <v>8</v>
      </c>
      <c r="B333" s="39" t="n">
        <f aca="false">EDATE(StartDate,A333-1)</f>
        <v>46600</v>
      </c>
      <c r="C333" s="24" t="str">
        <f aca="false">Monthly!$B$17</f>
        <v>EnergyWave, Inc.</v>
      </c>
      <c r="D333" s="24" t="str">
        <f aca="false">Monthly!$C$17</f>
        <v>Payroll</v>
      </c>
      <c r="E333" s="24" t="str">
        <f aca="false">Monthly!$D$17</f>
        <v>Salary &amp; load</v>
      </c>
      <c r="F333" s="24" t="str">
        <f aca="false">Monthly!$A$17</f>
        <v>Lab Safety / EHS Officer</v>
      </c>
      <c r="G333" s="20" t="n">
        <f aca="false">Monthly!M$17</f>
        <v>12200</v>
      </c>
      <c r="H333" s="24" t="str">
        <f aca="false">ScenarioName</f>
        <v>Base</v>
      </c>
    </row>
    <row r="334" customFormat="false" ht="15" hidden="false" customHeight="false" outlineLevel="0" collapsed="false">
      <c r="A334" s="8" t="n">
        <v>9</v>
      </c>
      <c r="B334" s="39" t="n">
        <f aca="false">EDATE(StartDate,A334-1)</f>
        <v>46631</v>
      </c>
      <c r="C334" s="24" t="str">
        <f aca="false">Monthly!$B$17</f>
        <v>EnergyWave, Inc.</v>
      </c>
      <c r="D334" s="24" t="str">
        <f aca="false">Monthly!$C$17</f>
        <v>Payroll</v>
      </c>
      <c r="E334" s="24" t="str">
        <f aca="false">Monthly!$D$17</f>
        <v>Salary &amp; load</v>
      </c>
      <c r="F334" s="24" t="str">
        <f aca="false">Monthly!$A$17</f>
        <v>Lab Safety / EHS Officer</v>
      </c>
      <c r="G334" s="20" t="n">
        <f aca="false">Monthly!N$17</f>
        <v>12200</v>
      </c>
      <c r="H334" s="24" t="str">
        <f aca="false">ScenarioName</f>
        <v>Base</v>
      </c>
    </row>
    <row r="335" customFormat="false" ht="15" hidden="false" customHeight="false" outlineLevel="0" collapsed="false">
      <c r="A335" s="8" t="n">
        <v>10</v>
      </c>
      <c r="B335" s="39" t="n">
        <f aca="false">EDATE(StartDate,A335-1)</f>
        <v>46661</v>
      </c>
      <c r="C335" s="24" t="str">
        <f aca="false">Monthly!$B$17</f>
        <v>EnergyWave, Inc.</v>
      </c>
      <c r="D335" s="24" t="str">
        <f aca="false">Monthly!$C$17</f>
        <v>Payroll</v>
      </c>
      <c r="E335" s="24" t="str">
        <f aca="false">Monthly!$D$17</f>
        <v>Salary &amp; load</v>
      </c>
      <c r="F335" s="24" t="str">
        <f aca="false">Monthly!$A$17</f>
        <v>Lab Safety / EHS Officer</v>
      </c>
      <c r="G335" s="20" t="n">
        <f aca="false">Monthly!O$17</f>
        <v>12200</v>
      </c>
      <c r="H335" s="24" t="str">
        <f aca="false">ScenarioName</f>
        <v>Base</v>
      </c>
    </row>
    <row r="336" customFormat="false" ht="15" hidden="false" customHeight="false" outlineLevel="0" collapsed="false">
      <c r="A336" s="8" t="n">
        <v>11</v>
      </c>
      <c r="B336" s="39" t="n">
        <f aca="false">EDATE(StartDate,A336-1)</f>
        <v>46692</v>
      </c>
      <c r="C336" s="24" t="str">
        <f aca="false">Monthly!$B$17</f>
        <v>EnergyWave, Inc.</v>
      </c>
      <c r="D336" s="24" t="str">
        <f aca="false">Monthly!$C$17</f>
        <v>Payroll</v>
      </c>
      <c r="E336" s="24" t="str">
        <f aca="false">Monthly!$D$17</f>
        <v>Salary &amp; load</v>
      </c>
      <c r="F336" s="24" t="str">
        <f aca="false">Monthly!$A$17</f>
        <v>Lab Safety / EHS Officer</v>
      </c>
      <c r="G336" s="20" t="n">
        <f aca="false">Monthly!P$17</f>
        <v>12200</v>
      </c>
      <c r="H336" s="24" t="str">
        <f aca="false">ScenarioName</f>
        <v>Base</v>
      </c>
    </row>
    <row r="337" customFormat="false" ht="15" hidden="false" customHeight="false" outlineLevel="0" collapsed="false">
      <c r="A337" s="8" t="n">
        <v>12</v>
      </c>
      <c r="B337" s="39" t="n">
        <f aca="false">EDATE(StartDate,A337-1)</f>
        <v>46722</v>
      </c>
      <c r="C337" s="24" t="str">
        <f aca="false">Monthly!$B$17</f>
        <v>EnergyWave, Inc.</v>
      </c>
      <c r="D337" s="24" t="str">
        <f aca="false">Monthly!$C$17</f>
        <v>Payroll</v>
      </c>
      <c r="E337" s="24" t="str">
        <f aca="false">Monthly!$D$17</f>
        <v>Salary &amp; load</v>
      </c>
      <c r="F337" s="24" t="str">
        <f aca="false">Monthly!$A$17</f>
        <v>Lab Safety / EHS Officer</v>
      </c>
      <c r="G337" s="20" t="n">
        <f aca="false">Monthly!Q$17</f>
        <v>12200</v>
      </c>
      <c r="H337" s="24" t="str">
        <f aca="false">ScenarioName</f>
        <v>Base</v>
      </c>
    </row>
    <row r="338" customFormat="false" ht="15" hidden="false" customHeight="false" outlineLevel="0" collapsed="false">
      <c r="A338" s="8" t="n">
        <v>13</v>
      </c>
      <c r="B338" s="39" t="n">
        <f aca="false">EDATE(StartDate,A338-1)</f>
        <v>46753</v>
      </c>
      <c r="C338" s="24" t="str">
        <f aca="false">Monthly!$B$17</f>
        <v>EnergyWave, Inc.</v>
      </c>
      <c r="D338" s="24" t="str">
        <f aca="false">Monthly!$C$17</f>
        <v>Payroll</v>
      </c>
      <c r="E338" s="24" t="str">
        <f aca="false">Monthly!$D$17</f>
        <v>Salary &amp; load</v>
      </c>
      <c r="F338" s="24" t="str">
        <f aca="false">Monthly!$A$17</f>
        <v>Lab Safety / EHS Officer</v>
      </c>
      <c r="G338" s="20" t="n">
        <f aca="false">Monthly!R$17</f>
        <v>12200</v>
      </c>
      <c r="H338" s="24" t="str">
        <f aca="false">ScenarioName</f>
        <v>Base</v>
      </c>
    </row>
    <row r="339" customFormat="false" ht="15" hidden="false" customHeight="false" outlineLevel="0" collapsed="false">
      <c r="A339" s="8" t="n">
        <v>14</v>
      </c>
      <c r="B339" s="39" t="n">
        <f aca="false">EDATE(StartDate,A339-1)</f>
        <v>46784</v>
      </c>
      <c r="C339" s="24" t="str">
        <f aca="false">Monthly!$B$17</f>
        <v>EnergyWave, Inc.</v>
      </c>
      <c r="D339" s="24" t="str">
        <f aca="false">Monthly!$C$17</f>
        <v>Payroll</v>
      </c>
      <c r="E339" s="24" t="str">
        <f aca="false">Monthly!$D$17</f>
        <v>Salary &amp; load</v>
      </c>
      <c r="F339" s="24" t="str">
        <f aca="false">Monthly!$A$17</f>
        <v>Lab Safety / EHS Officer</v>
      </c>
      <c r="G339" s="20" t="n">
        <f aca="false">Monthly!S$17</f>
        <v>12200</v>
      </c>
      <c r="H339" s="24" t="str">
        <f aca="false">ScenarioName</f>
        <v>Base</v>
      </c>
    </row>
    <row r="340" customFormat="false" ht="15" hidden="false" customHeight="false" outlineLevel="0" collapsed="false">
      <c r="A340" s="8" t="n">
        <v>15</v>
      </c>
      <c r="B340" s="39" t="n">
        <f aca="false">EDATE(StartDate,A340-1)</f>
        <v>46813</v>
      </c>
      <c r="C340" s="24" t="str">
        <f aca="false">Monthly!$B$17</f>
        <v>EnergyWave, Inc.</v>
      </c>
      <c r="D340" s="24" t="str">
        <f aca="false">Monthly!$C$17</f>
        <v>Payroll</v>
      </c>
      <c r="E340" s="24" t="str">
        <f aca="false">Monthly!$D$17</f>
        <v>Salary &amp; load</v>
      </c>
      <c r="F340" s="24" t="str">
        <f aca="false">Monthly!$A$17</f>
        <v>Lab Safety / EHS Officer</v>
      </c>
      <c r="G340" s="20" t="n">
        <f aca="false">Monthly!T$17</f>
        <v>12200</v>
      </c>
      <c r="H340" s="24" t="str">
        <f aca="false">ScenarioName</f>
        <v>Base</v>
      </c>
    </row>
    <row r="341" customFormat="false" ht="15" hidden="false" customHeight="false" outlineLevel="0" collapsed="false">
      <c r="A341" s="8" t="n">
        <v>16</v>
      </c>
      <c r="B341" s="39" t="n">
        <f aca="false">EDATE(StartDate,A341-1)</f>
        <v>46844</v>
      </c>
      <c r="C341" s="24" t="str">
        <f aca="false">Monthly!$B$17</f>
        <v>EnergyWave, Inc.</v>
      </c>
      <c r="D341" s="24" t="str">
        <f aca="false">Monthly!$C$17</f>
        <v>Payroll</v>
      </c>
      <c r="E341" s="24" t="str">
        <f aca="false">Monthly!$D$17</f>
        <v>Salary &amp; load</v>
      </c>
      <c r="F341" s="24" t="str">
        <f aca="false">Monthly!$A$17</f>
        <v>Lab Safety / EHS Officer</v>
      </c>
      <c r="G341" s="20" t="n">
        <f aca="false">Monthly!U$17</f>
        <v>12200</v>
      </c>
      <c r="H341" s="24" t="str">
        <f aca="false">ScenarioName</f>
        <v>Base</v>
      </c>
    </row>
    <row r="342" customFormat="false" ht="15" hidden="false" customHeight="false" outlineLevel="0" collapsed="false">
      <c r="A342" s="8" t="n">
        <v>17</v>
      </c>
      <c r="B342" s="39" t="n">
        <f aca="false">EDATE(StartDate,A342-1)</f>
        <v>46874</v>
      </c>
      <c r="C342" s="24" t="str">
        <f aca="false">Monthly!$B$17</f>
        <v>EnergyWave, Inc.</v>
      </c>
      <c r="D342" s="24" t="str">
        <f aca="false">Monthly!$C$17</f>
        <v>Payroll</v>
      </c>
      <c r="E342" s="24" t="str">
        <f aca="false">Monthly!$D$17</f>
        <v>Salary &amp; load</v>
      </c>
      <c r="F342" s="24" t="str">
        <f aca="false">Monthly!$A$17</f>
        <v>Lab Safety / EHS Officer</v>
      </c>
      <c r="G342" s="20" t="n">
        <f aca="false">Monthly!V$17</f>
        <v>12200</v>
      </c>
      <c r="H342" s="24" t="str">
        <f aca="false">ScenarioName</f>
        <v>Base</v>
      </c>
    </row>
    <row r="343" customFormat="false" ht="15" hidden="false" customHeight="false" outlineLevel="0" collapsed="false">
      <c r="A343" s="8" t="n">
        <v>18</v>
      </c>
      <c r="B343" s="39" t="n">
        <f aca="false">EDATE(StartDate,A343-1)</f>
        <v>46905</v>
      </c>
      <c r="C343" s="24" t="str">
        <f aca="false">Monthly!$B$17</f>
        <v>EnergyWave, Inc.</v>
      </c>
      <c r="D343" s="24" t="str">
        <f aca="false">Monthly!$C$17</f>
        <v>Payroll</v>
      </c>
      <c r="E343" s="24" t="str">
        <f aca="false">Monthly!$D$17</f>
        <v>Salary &amp; load</v>
      </c>
      <c r="F343" s="24" t="str">
        <f aca="false">Monthly!$A$17</f>
        <v>Lab Safety / EHS Officer</v>
      </c>
      <c r="G343" s="20" t="n">
        <f aca="false">Monthly!W$17</f>
        <v>12200</v>
      </c>
      <c r="H343" s="24" t="str">
        <f aca="false">ScenarioName</f>
        <v>Base</v>
      </c>
    </row>
    <row r="344" customFormat="false" ht="15" hidden="false" customHeight="false" outlineLevel="0" collapsed="false">
      <c r="A344" s="8" t="n">
        <v>19</v>
      </c>
      <c r="B344" s="39" t="n">
        <f aca="false">EDATE(StartDate,A344-1)</f>
        <v>46935</v>
      </c>
      <c r="C344" s="24" t="str">
        <f aca="false">Monthly!$B$17</f>
        <v>EnergyWave, Inc.</v>
      </c>
      <c r="D344" s="24" t="str">
        <f aca="false">Monthly!$C$17</f>
        <v>Payroll</v>
      </c>
      <c r="E344" s="24" t="str">
        <f aca="false">Monthly!$D$17</f>
        <v>Salary &amp; load</v>
      </c>
      <c r="F344" s="24" t="str">
        <f aca="false">Monthly!$A$17</f>
        <v>Lab Safety / EHS Officer</v>
      </c>
      <c r="G344" s="20" t="n">
        <f aca="false">Monthly!X$17</f>
        <v>12200</v>
      </c>
      <c r="H344" s="24" t="str">
        <f aca="false">ScenarioName</f>
        <v>Base</v>
      </c>
    </row>
    <row r="345" customFormat="false" ht="15" hidden="false" customHeight="false" outlineLevel="0" collapsed="false">
      <c r="A345" s="8" t="n">
        <v>20</v>
      </c>
      <c r="B345" s="39" t="n">
        <f aca="false">EDATE(StartDate,A345-1)</f>
        <v>46966</v>
      </c>
      <c r="C345" s="24" t="str">
        <f aca="false">Monthly!$B$17</f>
        <v>EnergyWave, Inc.</v>
      </c>
      <c r="D345" s="24" t="str">
        <f aca="false">Monthly!$C$17</f>
        <v>Payroll</v>
      </c>
      <c r="E345" s="24" t="str">
        <f aca="false">Monthly!$D$17</f>
        <v>Salary &amp; load</v>
      </c>
      <c r="F345" s="24" t="str">
        <f aca="false">Monthly!$A$17</f>
        <v>Lab Safety / EHS Officer</v>
      </c>
      <c r="G345" s="20" t="n">
        <f aca="false">Monthly!Y$17</f>
        <v>12200</v>
      </c>
      <c r="H345" s="24" t="str">
        <f aca="false">ScenarioName</f>
        <v>Base</v>
      </c>
    </row>
    <row r="346" customFormat="false" ht="15" hidden="false" customHeight="false" outlineLevel="0" collapsed="false">
      <c r="A346" s="8" t="n">
        <v>21</v>
      </c>
      <c r="B346" s="39" t="n">
        <f aca="false">EDATE(StartDate,A346-1)</f>
        <v>46997</v>
      </c>
      <c r="C346" s="24" t="str">
        <f aca="false">Monthly!$B$17</f>
        <v>EnergyWave, Inc.</v>
      </c>
      <c r="D346" s="24" t="str">
        <f aca="false">Monthly!$C$17</f>
        <v>Payroll</v>
      </c>
      <c r="E346" s="24" t="str">
        <f aca="false">Monthly!$D$17</f>
        <v>Salary &amp; load</v>
      </c>
      <c r="F346" s="24" t="str">
        <f aca="false">Monthly!$A$17</f>
        <v>Lab Safety / EHS Officer</v>
      </c>
      <c r="G346" s="20" t="n">
        <f aca="false">Monthly!Z$17</f>
        <v>12200</v>
      </c>
      <c r="H346" s="24" t="str">
        <f aca="false">ScenarioName</f>
        <v>Base</v>
      </c>
    </row>
    <row r="347" customFormat="false" ht="15" hidden="false" customHeight="false" outlineLevel="0" collapsed="false">
      <c r="A347" s="8" t="n">
        <v>22</v>
      </c>
      <c r="B347" s="39" t="n">
        <f aca="false">EDATE(StartDate,A347-1)</f>
        <v>47027</v>
      </c>
      <c r="C347" s="24" t="str">
        <f aca="false">Monthly!$B$17</f>
        <v>EnergyWave, Inc.</v>
      </c>
      <c r="D347" s="24" t="str">
        <f aca="false">Monthly!$C$17</f>
        <v>Payroll</v>
      </c>
      <c r="E347" s="24" t="str">
        <f aca="false">Monthly!$D$17</f>
        <v>Salary &amp; load</v>
      </c>
      <c r="F347" s="24" t="str">
        <f aca="false">Monthly!$A$17</f>
        <v>Lab Safety / EHS Officer</v>
      </c>
      <c r="G347" s="20" t="n">
        <f aca="false">Monthly!AA$17</f>
        <v>12200</v>
      </c>
      <c r="H347" s="24" t="str">
        <f aca="false">ScenarioName</f>
        <v>Base</v>
      </c>
    </row>
    <row r="348" customFormat="false" ht="15" hidden="false" customHeight="false" outlineLevel="0" collapsed="false">
      <c r="A348" s="8" t="n">
        <v>23</v>
      </c>
      <c r="B348" s="39" t="n">
        <f aca="false">EDATE(StartDate,A348-1)</f>
        <v>47058</v>
      </c>
      <c r="C348" s="24" t="str">
        <f aca="false">Monthly!$B$17</f>
        <v>EnergyWave, Inc.</v>
      </c>
      <c r="D348" s="24" t="str">
        <f aca="false">Monthly!$C$17</f>
        <v>Payroll</v>
      </c>
      <c r="E348" s="24" t="str">
        <f aca="false">Monthly!$D$17</f>
        <v>Salary &amp; load</v>
      </c>
      <c r="F348" s="24" t="str">
        <f aca="false">Monthly!$A$17</f>
        <v>Lab Safety / EHS Officer</v>
      </c>
      <c r="G348" s="20" t="n">
        <f aca="false">Monthly!AB$17</f>
        <v>12200</v>
      </c>
      <c r="H348" s="24" t="str">
        <f aca="false">ScenarioName</f>
        <v>Base</v>
      </c>
    </row>
    <row r="349" customFormat="false" ht="15" hidden="false" customHeight="false" outlineLevel="0" collapsed="false">
      <c r="A349" s="8" t="n">
        <v>24</v>
      </c>
      <c r="B349" s="39" t="n">
        <f aca="false">EDATE(StartDate,A349-1)</f>
        <v>47088</v>
      </c>
      <c r="C349" s="24" t="str">
        <f aca="false">Monthly!$B$17</f>
        <v>EnergyWave, Inc.</v>
      </c>
      <c r="D349" s="24" t="str">
        <f aca="false">Monthly!$C$17</f>
        <v>Payroll</v>
      </c>
      <c r="E349" s="24" t="str">
        <f aca="false">Monthly!$D$17</f>
        <v>Salary &amp; load</v>
      </c>
      <c r="F349" s="24" t="str">
        <f aca="false">Monthly!$A$17</f>
        <v>Lab Safety / EHS Officer</v>
      </c>
      <c r="G349" s="20" t="n">
        <f aca="false">Monthly!AC$17</f>
        <v>12200</v>
      </c>
      <c r="H349" s="24" t="str">
        <f aca="false">ScenarioName</f>
        <v>Base</v>
      </c>
    </row>
    <row r="350" customFormat="false" ht="15" hidden="false" customHeight="false" outlineLevel="0" collapsed="false">
      <c r="A350" s="8" t="n">
        <v>25</v>
      </c>
      <c r="B350" s="39" t="n">
        <f aca="false">EDATE(StartDate,A350-1)</f>
        <v>47119</v>
      </c>
      <c r="C350" s="24" t="str">
        <f aca="false">Monthly!$B$17</f>
        <v>EnergyWave, Inc.</v>
      </c>
      <c r="D350" s="24" t="str">
        <f aca="false">Monthly!$C$17</f>
        <v>Payroll</v>
      </c>
      <c r="E350" s="24" t="str">
        <f aca="false">Monthly!$D$17</f>
        <v>Salary &amp; load</v>
      </c>
      <c r="F350" s="24" t="str">
        <f aca="false">Monthly!$A$17</f>
        <v>Lab Safety / EHS Officer</v>
      </c>
      <c r="G350" s="20" t="n">
        <f aca="false">Monthly!AD$17</f>
        <v>12200</v>
      </c>
      <c r="H350" s="24" t="str">
        <f aca="false">ScenarioName</f>
        <v>Base</v>
      </c>
    </row>
    <row r="351" customFormat="false" ht="15" hidden="false" customHeight="false" outlineLevel="0" collapsed="false">
      <c r="A351" s="8" t="n">
        <v>26</v>
      </c>
      <c r="B351" s="39" t="n">
        <f aca="false">EDATE(StartDate,A351-1)</f>
        <v>47150</v>
      </c>
      <c r="C351" s="24" t="str">
        <f aca="false">Monthly!$B$17</f>
        <v>EnergyWave, Inc.</v>
      </c>
      <c r="D351" s="24" t="str">
        <f aca="false">Monthly!$C$17</f>
        <v>Payroll</v>
      </c>
      <c r="E351" s="24" t="str">
        <f aca="false">Monthly!$D$17</f>
        <v>Salary &amp; load</v>
      </c>
      <c r="F351" s="24" t="str">
        <f aca="false">Monthly!$A$17</f>
        <v>Lab Safety / EHS Officer</v>
      </c>
      <c r="G351" s="20" t="n">
        <f aca="false">Monthly!AE$17</f>
        <v>12200</v>
      </c>
      <c r="H351" s="24" t="str">
        <f aca="false">ScenarioName</f>
        <v>Base</v>
      </c>
    </row>
    <row r="352" customFormat="false" ht="15" hidden="false" customHeight="false" outlineLevel="0" collapsed="false">
      <c r="A352" s="8" t="n">
        <v>27</v>
      </c>
      <c r="B352" s="39" t="n">
        <f aca="false">EDATE(StartDate,A352-1)</f>
        <v>47178</v>
      </c>
      <c r="C352" s="24" t="str">
        <f aca="false">Monthly!$B$17</f>
        <v>EnergyWave, Inc.</v>
      </c>
      <c r="D352" s="24" t="str">
        <f aca="false">Monthly!$C$17</f>
        <v>Payroll</v>
      </c>
      <c r="E352" s="24" t="str">
        <f aca="false">Monthly!$D$17</f>
        <v>Salary &amp; load</v>
      </c>
      <c r="F352" s="24" t="str">
        <f aca="false">Monthly!$A$17</f>
        <v>Lab Safety / EHS Officer</v>
      </c>
      <c r="G352" s="20" t="n">
        <f aca="false">Monthly!AF$17</f>
        <v>12200</v>
      </c>
      <c r="H352" s="24" t="str">
        <f aca="false">ScenarioName</f>
        <v>Base</v>
      </c>
    </row>
    <row r="353" customFormat="false" ht="15" hidden="false" customHeight="false" outlineLevel="0" collapsed="false">
      <c r="A353" s="8" t="n">
        <v>28</v>
      </c>
      <c r="B353" s="39" t="n">
        <f aca="false">EDATE(StartDate,A353-1)</f>
        <v>47209</v>
      </c>
      <c r="C353" s="24" t="str">
        <f aca="false">Monthly!$B$17</f>
        <v>EnergyWave, Inc.</v>
      </c>
      <c r="D353" s="24" t="str">
        <f aca="false">Monthly!$C$17</f>
        <v>Payroll</v>
      </c>
      <c r="E353" s="24" t="str">
        <f aca="false">Monthly!$D$17</f>
        <v>Salary &amp; load</v>
      </c>
      <c r="F353" s="24" t="str">
        <f aca="false">Monthly!$A$17</f>
        <v>Lab Safety / EHS Officer</v>
      </c>
      <c r="G353" s="20" t="n">
        <f aca="false">Monthly!AG$17</f>
        <v>12200</v>
      </c>
      <c r="H353" s="24" t="str">
        <f aca="false">ScenarioName</f>
        <v>Base</v>
      </c>
    </row>
    <row r="354" customFormat="false" ht="15" hidden="false" customHeight="false" outlineLevel="0" collapsed="false">
      <c r="A354" s="8" t="n">
        <v>29</v>
      </c>
      <c r="B354" s="39" t="n">
        <f aca="false">EDATE(StartDate,A354-1)</f>
        <v>47239</v>
      </c>
      <c r="C354" s="24" t="str">
        <f aca="false">Monthly!$B$17</f>
        <v>EnergyWave, Inc.</v>
      </c>
      <c r="D354" s="24" t="str">
        <f aca="false">Monthly!$C$17</f>
        <v>Payroll</v>
      </c>
      <c r="E354" s="24" t="str">
        <f aca="false">Monthly!$D$17</f>
        <v>Salary &amp; load</v>
      </c>
      <c r="F354" s="24" t="str">
        <f aca="false">Monthly!$A$17</f>
        <v>Lab Safety / EHS Officer</v>
      </c>
      <c r="G354" s="20" t="n">
        <f aca="false">Monthly!AH$17</f>
        <v>12200</v>
      </c>
      <c r="H354" s="24" t="str">
        <f aca="false">ScenarioName</f>
        <v>Base</v>
      </c>
    </row>
    <row r="355" customFormat="false" ht="15" hidden="false" customHeight="false" outlineLevel="0" collapsed="false">
      <c r="A355" s="8" t="n">
        <v>30</v>
      </c>
      <c r="B355" s="39" t="n">
        <f aca="false">EDATE(StartDate,A355-1)</f>
        <v>47270</v>
      </c>
      <c r="C355" s="24" t="str">
        <f aca="false">Monthly!$B$17</f>
        <v>EnergyWave, Inc.</v>
      </c>
      <c r="D355" s="24" t="str">
        <f aca="false">Monthly!$C$17</f>
        <v>Payroll</v>
      </c>
      <c r="E355" s="24" t="str">
        <f aca="false">Monthly!$D$17</f>
        <v>Salary &amp; load</v>
      </c>
      <c r="F355" s="24" t="str">
        <f aca="false">Monthly!$A$17</f>
        <v>Lab Safety / EHS Officer</v>
      </c>
      <c r="G355" s="20" t="n">
        <f aca="false">Monthly!AI$17</f>
        <v>12200</v>
      </c>
      <c r="H355" s="24" t="str">
        <f aca="false">ScenarioName</f>
        <v>Base</v>
      </c>
    </row>
    <row r="356" customFormat="false" ht="15" hidden="false" customHeight="false" outlineLevel="0" collapsed="false">
      <c r="A356" s="8" t="n">
        <v>31</v>
      </c>
      <c r="B356" s="39" t="n">
        <f aca="false">EDATE(StartDate,A356-1)</f>
        <v>47300</v>
      </c>
      <c r="C356" s="24" t="str">
        <f aca="false">Monthly!$B$17</f>
        <v>EnergyWave, Inc.</v>
      </c>
      <c r="D356" s="24" t="str">
        <f aca="false">Monthly!$C$17</f>
        <v>Payroll</v>
      </c>
      <c r="E356" s="24" t="str">
        <f aca="false">Monthly!$D$17</f>
        <v>Salary &amp; load</v>
      </c>
      <c r="F356" s="24" t="str">
        <f aca="false">Monthly!$A$17</f>
        <v>Lab Safety / EHS Officer</v>
      </c>
      <c r="G356" s="20" t="n">
        <f aca="false">Monthly!AJ$17</f>
        <v>12200</v>
      </c>
      <c r="H356" s="24" t="str">
        <f aca="false">ScenarioName</f>
        <v>Base</v>
      </c>
    </row>
    <row r="357" customFormat="false" ht="15" hidden="false" customHeight="false" outlineLevel="0" collapsed="false">
      <c r="A357" s="8" t="n">
        <v>32</v>
      </c>
      <c r="B357" s="39" t="n">
        <f aca="false">EDATE(StartDate,A357-1)</f>
        <v>47331</v>
      </c>
      <c r="C357" s="24" t="str">
        <f aca="false">Monthly!$B$17</f>
        <v>EnergyWave, Inc.</v>
      </c>
      <c r="D357" s="24" t="str">
        <f aca="false">Monthly!$C$17</f>
        <v>Payroll</v>
      </c>
      <c r="E357" s="24" t="str">
        <f aca="false">Monthly!$D$17</f>
        <v>Salary &amp; load</v>
      </c>
      <c r="F357" s="24" t="str">
        <f aca="false">Monthly!$A$17</f>
        <v>Lab Safety / EHS Officer</v>
      </c>
      <c r="G357" s="20" t="n">
        <f aca="false">Monthly!AK$17</f>
        <v>12200</v>
      </c>
      <c r="H357" s="24" t="str">
        <f aca="false">ScenarioName</f>
        <v>Base</v>
      </c>
    </row>
    <row r="358" customFormat="false" ht="15" hidden="false" customHeight="false" outlineLevel="0" collapsed="false">
      <c r="A358" s="8" t="n">
        <v>33</v>
      </c>
      <c r="B358" s="39" t="n">
        <f aca="false">EDATE(StartDate,A358-1)</f>
        <v>47362</v>
      </c>
      <c r="C358" s="24" t="str">
        <f aca="false">Monthly!$B$17</f>
        <v>EnergyWave, Inc.</v>
      </c>
      <c r="D358" s="24" t="str">
        <f aca="false">Monthly!$C$17</f>
        <v>Payroll</v>
      </c>
      <c r="E358" s="24" t="str">
        <f aca="false">Monthly!$D$17</f>
        <v>Salary &amp; load</v>
      </c>
      <c r="F358" s="24" t="str">
        <f aca="false">Monthly!$A$17</f>
        <v>Lab Safety / EHS Officer</v>
      </c>
      <c r="G358" s="20" t="n">
        <f aca="false">Monthly!AL$17</f>
        <v>12200</v>
      </c>
      <c r="H358" s="24" t="str">
        <f aca="false">ScenarioName</f>
        <v>Base</v>
      </c>
    </row>
    <row r="359" customFormat="false" ht="15" hidden="false" customHeight="false" outlineLevel="0" collapsed="false">
      <c r="A359" s="8" t="n">
        <v>34</v>
      </c>
      <c r="B359" s="39" t="n">
        <f aca="false">EDATE(StartDate,A359-1)</f>
        <v>47392</v>
      </c>
      <c r="C359" s="24" t="str">
        <f aca="false">Monthly!$B$17</f>
        <v>EnergyWave, Inc.</v>
      </c>
      <c r="D359" s="24" t="str">
        <f aca="false">Monthly!$C$17</f>
        <v>Payroll</v>
      </c>
      <c r="E359" s="24" t="str">
        <f aca="false">Monthly!$D$17</f>
        <v>Salary &amp; load</v>
      </c>
      <c r="F359" s="24" t="str">
        <f aca="false">Monthly!$A$17</f>
        <v>Lab Safety / EHS Officer</v>
      </c>
      <c r="G359" s="20" t="n">
        <f aca="false">Monthly!AM$17</f>
        <v>12200</v>
      </c>
      <c r="H359" s="24" t="str">
        <f aca="false">ScenarioName</f>
        <v>Base</v>
      </c>
    </row>
    <row r="360" customFormat="false" ht="15" hidden="false" customHeight="false" outlineLevel="0" collapsed="false">
      <c r="A360" s="8" t="n">
        <v>35</v>
      </c>
      <c r="B360" s="39" t="n">
        <f aca="false">EDATE(StartDate,A360-1)</f>
        <v>47423</v>
      </c>
      <c r="C360" s="24" t="str">
        <f aca="false">Monthly!$B$17</f>
        <v>EnergyWave, Inc.</v>
      </c>
      <c r="D360" s="24" t="str">
        <f aca="false">Monthly!$C$17</f>
        <v>Payroll</v>
      </c>
      <c r="E360" s="24" t="str">
        <f aca="false">Monthly!$D$17</f>
        <v>Salary &amp; load</v>
      </c>
      <c r="F360" s="24" t="str">
        <f aca="false">Monthly!$A$17</f>
        <v>Lab Safety / EHS Officer</v>
      </c>
      <c r="G360" s="20" t="n">
        <f aca="false">Monthly!AN$17</f>
        <v>12200</v>
      </c>
      <c r="H360" s="24" t="str">
        <f aca="false">ScenarioName</f>
        <v>Base</v>
      </c>
    </row>
    <row r="361" customFormat="false" ht="15" hidden="false" customHeight="false" outlineLevel="0" collapsed="false">
      <c r="A361" s="8" t="n">
        <v>36</v>
      </c>
      <c r="B361" s="39" t="n">
        <f aca="false">EDATE(StartDate,A361-1)</f>
        <v>47453</v>
      </c>
      <c r="C361" s="24" t="str">
        <f aca="false">Monthly!$B$17</f>
        <v>EnergyWave, Inc.</v>
      </c>
      <c r="D361" s="24" t="str">
        <f aca="false">Monthly!$C$17</f>
        <v>Payroll</v>
      </c>
      <c r="E361" s="24" t="str">
        <f aca="false">Monthly!$D$17</f>
        <v>Salary &amp; load</v>
      </c>
      <c r="F361" s="24" t="str">
        <f aca="false">Monthly!$A$17</f>
        <v>Lab Safety / EHS Officer</v>
      </c>
      <c r="G361" s="20" t="n">
        <f aca="false">Monthly!AO$17</f>
        <v>12200</v>
      </c>
      <c r="H361" s="24" t="str">
        <f aca="false">ScenarioName</f>
        <v>Base</v>
      </c>
    </row>
    <row r="362" customFormat="false" ht="15" hidden="false" customHeight="false" outlineLevel="0" collapsed="false">
      <c r="A362" s="8" t="n">
        <v>1</v>
      </c>
      <c r="B362" s="39" t="n">
        <f aca="false">EDATE(StartDate,A362-1)</f>
        <v>46388</v>
      </c>
      <c r="C362" s="24" t="str">
        <f aca="false">Monthly!$B$18</f>
        <v>EnergyWave, Inc.</v>
      </c>
      <c r="D362" s="24" t="str">
        <f aca="false">Monthly!$C$18</f>
        <v>Payroll</v>
      </c>
      <c r="E362" s="24" t="str">
        <f aca="false">Monthly!$D$18</f>
        <v>Salary &amp; load</v>
      </c>
      <c r="F362" s="24" t="str">
        <f aca="false">Monthly!$A$18</f>
        <v>Test &amp; Instrumentation Engineer 1 (calorimetry)</v>
      </c>
      <c r="G362" s="20" t="n">
        <f aca="false">Monthly!F$18</f>
        <v>0</v>
      </c>
      <c r="H362" s="24" t="str">
        <f aca="false">ScenarioName</f>
        <v>Base</v>
      </c>
    </row>
    <row r="363" customFormat="false" ht="15" hidden="false" customHeight="false" outlineLevel="0" collapsed="false">
      <c r="A363" s="8" t="n">
        <v>2</v>
      </c>
      <c r="B363" s="39" t="n">
        <f aca="false">EDATE(StartDate,A363-1)</f>
        <v>46419</v>
      </c>
      <c r="C363" s="24" t="str">
        <f aca="false">Monthly!$B$18</f>
        <v>EnergyWave, Inc.</v>
      </c>
      <c r="D363" s="24" t="str">
        <f aca="false">Monthly!$C$18</f>
        <v>Payroll</v>
      </c>
      <c r="E363" s="24" t="str">
        <f aca="false">Monthly!$D$18</f>
        <v>Salary &amp; load</v>
      </c>
      <c r="F363" s="24" t="str">
        <f aca="false">Monthly!$A$18</f>
        <v>Test &amp; Instrumentation Engineer 1 (calorimetry)</v>
      </c>
      <c r="G363" s="20" t="n">
        <f aca="false">Monthly!G$18</f>
        <v>13725</v>
      </c>
      <c r="H363" s="24" t="str">
        <f aca="false">ScenarioName</f>
        <v>Base</v>
      </c>
    </row>
    <row r="364" customFormat="false" ht="15" hidden="false" customHeight="false" outlineLevel="0" collapsed="false">
      <c r="A364" s="8" t="n">
        <v>3</v>
      </c>
      <c r="B364" s="39" t="n">
        <f aca="false">EDATE(StartDate,A364-1)</f>
        <v>46447</v>
      </c>
      <c r="C364" s="24" t="str">
        <f aca="false">Monthly!$B$18</f>
        <v>EnergyWave, Inc.</v>
      </c>
      <c r="D364" s="24" t="str">
        <f aca="false">Monthly!$C$18</f>
        <v>Payroll</v>
      </c>
      <c r="E364" s="24" t="str">
        <f aca="false">Monthly!$D$18</f>
        <v>Salary &amp; load</v>
      </c>
      <c r="F364" s="24" t="str">
        <f aca="false">Monthly!$A$18</f>
        <v>Test &amp; Instrumentation Engineer 1 (calorimetry)</v>
      </c>
      <c r="G364" s="20" t="n">
        <f aca="false">Monthly!H$18</f>
        <v>13725</v>
      </c>
      <c r="H364" s="24" t="str">
        <f aca="false">ScenarioName</f>
        <v>Base</v>
      </c>
    </row>
    <row r="365" customFormat="false" ht="15" hidden="false" customHeight="false" outlineLevel="0" collapsed="false">
      <c r="A365" s="8" t="n">
        <v>4</v>
      </c>
      <c r="B365" s="39" t="n">
        <f aca="false">EDATE(StartDate,A365-1)</f>
        <v>46478</v>
      </c>
      <c r="C365" s="24" t="str">
        <f aca="false">Monthly!$B$18</f>
        <v>EnergyWave, Inc.</v>
      </c>
      <c r="D365" s="24" t="str">
        <f aca="false">Monthly!$C$18</f>
        <v>Payroll</v>
      </c>
      <c r="E365" s="24" t="str">
        <f aca="false">Monthly!$D$18</f>
        <v>Salary &amp; load</v>
      </c>
      <c r="F365" s="24" t="str">
        <f aca="false">Monthly!$A$18</f>
        <v>Test &amp; Instrumentation Engineer 1 (calorimetry)</v>
      </c>
      <c r="G365" s="20" t="n">
        <f aca="false">Monthly!I$18</f>
        <v>13725</v>
      </c>
      <c r="H365" s="24" t="str">
        <f aca="false">ScenarioName</f>
        <v>Base</v>
      </c>
    </row>
    <row r="366" customFormat="false" ht="15" hidden="false" customHeight="false" outlineLevel="0" collapsed="false">
      <c r="A366" s="8" t="n">
        <v>5</v>
      </c>
      <c r="B366" s="39" t="n">
        <f aca="false">EDATE(StartDate,A366-1)</f>
        <v>46508</v>
      </c>
      <c r="C366" s="24" t="str">
        <f aca="false">Monthly!$B$18</f>
        <v>EnergyWave, Inc.</v>
      </c>
      <c r="D366" s="24" t="str">
        <f aca="false">Monthly!$C$18</f>
        <v>Payroll</v>
      </c>
      <c r="E366" s="24" t="str">
        <f aca="false">Monthly!$D$18</f>
        <v>Salary &amp; load</v>
      </c>
      <c r="F366" s="24" t="str">
        <f aca="false">Monthly!$A$18</f>
        <v>Test &amp; Instrumentation Engineer 1 (calorimetry)</v>
      </c>
      <c r="G366" s="20" t="n">
        <f aca="false">Monthly!J$18</f>
        <v>13725</v>
      </c>
      <c r="H366" s="24" t="str">
        <f aca="false">ScenarioName</f>
        <v>Base</v>
      </c>
    </row>
    <row r="367" customFormat="false" ht="15" hidden="false" customHeight="false" outlineLevel="0" collapsed="false">
      <c r="A367" s="8" t="n">
        <v>6</v>
      </c>
      <c r="B367" s="39" t="n">
        <f aca="false">EDATE(StartDate,A367-1)</f>
        <v>46539</v>
      </c>
      <c r="C367" s="24" t="str">
        <f aca="false">Monthly!$B$18</f>
        <v>EnergyWave, Inc.</v>
      </c>
      <c r="D367" s="24" t="str">
        <f aca="false">Monthly!$C$18</f>
        <v>Payroll</v>
      </c>
      <c r="E367" s="24" t="str">
        <f aca="false">Monthly!$D$18</f>
        <v>Salary &amp; load</v>
      </c>
      <c r="F367" s="24" t="str">
        <f aca="false">Monthly!$A$18</f>
        <v>Test &amp; Instrumentation Engineer 1 (calorimetry)</v>
      </c>
      <c r="G367" s="20" t="n">
        <f aca="false">Monthly!K$18</f>
        <v>13725</v>
      </c>
      <c r="H367" s="24" t="str">
        <f aca="false">ScenarioName</f>
        <v>Base</v>
      </c>
    </row>
    <row r="368" customFormat="false" ht="15" hidden="false" customHeight="false" outlineLevel="0" collapsed="false">
      <c r="A368" s="8" t="n">
        <v>7</v>
      </c>
      <c r="B368" s="39" t="n">
        <f aca="false">EDATE(StartDate,A368-1)</f>
        <v>46569</v>
      </c>
      <c r="C368" s="24" t="str">
        <f aca="false">Monthly!$B$18</f>
        <v>EnergyWave, Inc.</v>
      </c>
      <c r="D368" s="24" t="str">
        <f aca="false">Monthly!$C$18</f>
        <v>Payroll</v>
      </c>
      <c r="E368" s="24" t="str">
        <f aca="false">Monthly!$D$18</f>
        <v>Salary &amp; load</v>
      </c>
      <c r="F368" s="24" t="str">
        <f aca="false">Monthly!$A$18</f>
        <v>Test &amp; Instrumentation Engineer 1 (calorimetry)</v>
      </c>
      <c r="G368" s="20" t="n">
        <f aca="false">Monthly!L$18</f>
        <v>13725</v>
      </c>
      <c r="H368" s="24" t="str">
        <f aca="false">ScenarioName</f>
        <v>Base</v>
      </c>
    </row>
    <row r="369" customFormat="false" ht="15" hidden="false" customHeight="false" outlineLevel="0" collapsed="false">
      <c r="A369" s="8" t="n">
        <v>8</v>
      </c>
      <c r="B369" s="39" t="n">
        <f aca="false">EDATE(StartDate,A369-1)</f>
        <v>46600</v>
      </c>
      <c r="C369" s="24" t="str">
        <f aca="false">Monthly!$B$18</f>
        <v>EnergyWave, Inc.</v>
      </c>
      <c r="D369" s="24" t="str">
        <f aca="false">Monthly!$C$18</f>
        <v>Payroll</v>
      </c>
      <c r="E369" s="24" t="str">
        <f aca="false">Monthly!$D$18</f>
        <v>Salary &amp; load</v>
      </c>
      <c r="F369" s="24" t="str">
        <f aca="false">Monthly!$A$18</f>
        <v>Test &amp; Instrumentation Engineer 1 (calorimetry)</v>
      </c>
      <c r="G369" s="20" t="n">
        <f aca="false">Monthly!M$18</f>
        <v>13725</v>
      </c>
      <c r="H369" s="24" t="str">
        <f aca="false">ScenarioName</f>
        <v>Base</v>
      </c>
    </row>
    <row r="370" customFormat="false" ht="15" hidden="false" customHeight="false" outlineLevel="0" collapsed="false">
      <c r="A370" s="8" t="n">
        <v>9</v>
      </c>
      <c r="B370" s="39" t="n">
        <f aca="false">EDATE(StartDate,A370-1)</f>
        <v>46631</v>
      </c>
      <c r="C370" s="24" t="str">
        <f aca="false">Monthly!$B$18</f>
        <v>EnergyWave, Inc.</v>
      </c>
      <c r="D370" s="24" t="str">
        <f aca="false">Monthly!$C$18</f>
        <v>Payroll</v>
      </c>
      <c r="E370" s="24" t="str">
        <f aca="false">Monthly!$D$18</f>
        <v>Salary &amp; load</v>
      </c>
      <c r="F370" s="24" t="str">
        <f aca="false">Monthly!$A$18</f>
        <v>Test &amp; Instrumentation Engineer 1 (calorimetry)</v>
      </c>
      <c r="G370" s="20" t="n">
        <f aca="false">Monthly!N$18</f>
        <v>13725</v>
      </c>
      <c r="H370" s="24" t="str">
        <f aca="false">ScenarioName</f>
        <v>Base</v>
      </c>
    </row>
    <row r="371" customFormat="false" ht="15" hidden="false" customHeight="false" outlineLevel="0" collapsed="false">
      <c r="A371" s="8" t="n">
        <v>10</v>
      </c>
      <c r="B371" s="39" t="n">
        <f aca="false">EDATE(StartDate,A371-1)</f>
        <v>46661</v>
      </c>
      <c r="C371" s="24" t="str">
        <f aca="false">Monthly!$B$18</f>
        <v>EnergyWave, Inc.</v>
      </c>
      <c r="D371" s="24" t="str">
        <f aca="false">Monthly!$C$18</f>
        <v>Payroll</v>
      </c>
      <c r="E371" s="24" t="str">
        <f aca="false">Monthly!$D$18</f>
        <v>Salary &amp; load</v>
      </c>
      <c r="F371" s="24" t="str">
        <f aca="false">Monthly!$A$18</f>
        <v>Test &amp; Instrumentation Engineer 1 (calorimetry)</v>
      </c>
      <c r="G371" s="20" t="n">
        <f aca="false">Monthly!O$18</f>
        <v>13725</v>
      </c>
      <c r="H371" s="24" t="str">
        <f aca="false">ScenarioName</f>
        <v>Base</v>
      </c>
    </row>
    <row r="372" customFormat="false" ht="15" hidden="false" customHeight="false" outlineLevel="0" collapsed="false">
      <c r="A372" s="8" t="n">
        <v>11</v>
      </c>
      <c r="B372" s="39" t="n">
        <f aca="false">EDATE(StartDate,A372-1)</f>
        <v>46692</v>
      </c>
      <c r="C372" s="24" t="str">
        <f aca="false">Monthly!$B$18</f>
        <v>EnergyWave, Inc.</v>
      </c>
      <c r="D372" s="24" t="str">
        <f aca="false">Monthly!$C$18</f>
        <v>Payroll</v>
      </c>
      <c r="E372" s="24" t="str">
        <f aca="false">Monthly!$D$18</f>
        <v>Salary &amp; load</v>
      </c>
      <c r="F372" s="24" t="str">
        <f aca="false">Monthly!$A$18</f>
        <v>Test &amp; Instrumentation Engineer 1 (calorimetry)</v>
      </c>
      <c r="G372" s="20" t="n">
        <f aca="false">Monthly!P$18</f>
        <v>13725</v>
      </c>
      <c r="H372" s="24" t="str">
        <f aca="false">ScenarioName</f>
        <v>Base</v>
      </c>
    </row>
    <row r="373" customFormat="false" ht="15" hidden="false" customHeight="false" outlineLevel="0" collapsed="false">
      <c r="A373" s="8" t="n">
        <v>12</v>
      </c>
      <c r="B373" s="39" t="n">
        <f aca="false">EDATE(StartDate,A373-1)</f>
        <v>46722</v>
      </c>
      <c r="C373" s="24" t="str">
        <f aca="false">Monthly!$B$18</f>
        <v>EnergyWave, Inc.</v>
      </c>
      <c r="D373" s="24" t="str">
        <f aca="false">Monthly!$C$18</f>
        <v>Payroll</v>
      </c>
      <c r="E373" s="24" t="str">
        <f aca="false">Monthly!$D$18</f>
        <v>Salary &amp; load</v>
      </c>
      <c r="F373" s="24" t="str">
        <f aca="false">Monthly!$A$18</f>
        <v>Test &amp; Instrumentation Engineer 1 (calorimetry)</v>
      </c>
      <c r="G373" s="20" t="n">
        <f aca="false">Monthly!Q$18</f>
        <v>13725</v>
      </c>
      <c r="H373" s="24" t="str">
        <f aca="false">ScenarioName</f>
        <v>Base</v>
      </c>
    </row>
    <row r="374" customFormat="false" ht="15" hidden="false" customHeight="false" outlineLevel="0" collapsed="false">
      <c r="A374" s="8" t="n">
        <v>13</v>
      </c>
      <c r="B374" s="39" t="n">
        <f aca="false">EDATE(StartDate,A374-1)</f>
        <v>46753</v>
      </c>
      <c r="C374" s="24" t="str">
        <f aca="false">Monthly!$B$18</f>
        <v>EnergyWave, Inc.</v>
      </c>
      <c r="D374" s="24" t="str">
        <f aca="false">Monthly!$C$18</f>
        <v>Payroll</v>
      </c>
      <c r="E374" s="24" t="str">
        <f aca="false">Monthly!$D$18</f>
        <v>Salary &amp; load</v>
      </c>
      <c r="F374" s="24" t="str">
        <f aca="false">Monthly!$A$18</f>
        <v>Test &amp; Instrumentation Engineer 1 (calorimetry)</v>
      </c>
      <c r="G374" s="20" t="n">
        <f aca="false">Monthly!R$18</f>
        <v>13725</v>
      </c>
      <c r="H374" s="24" t="str">
        <f aca="false">ScenarioName</f>
        <v>Base</v>
      </c>
    </row>
    <row r="375" customFormat="false" ht="15" hidden="false" customHeight="false" outlineLevel="0" collapsed="false">
      <c r="A375" s="8" t="n">
        <v>14</v>
      </c>
      <c r="B375" s="39" t="n">
        <f aca="false">EDATE(StartDate,A375-1)</f>
        <v>46784</v>
      </c>
      <c r="C375" s="24" t="str">
        <f aca="false">Monthly!$B$18</f>
        <v>EnergyWave, Inc.</v>
      </c>
      <c r="D375" s="24" t="str">
        <f aca="false">Monthly!$C$18</f>
        <v>Payroll</v>
      </c>
      <c r="E375" s="24" t="str">
        <f aca="false">Monthly!$D$18</f>
        <v>Salary &amp; load</v>
      </c>
      <c r="F375" s="24" t="str">
        <f aca="false">Monthly!$A$18</f>
        <v>Test &amp; Instrumentation Engineer 1 (calorimetry)</v>
      </c>
      <c r="G375" s="20" t="n">
        <f aca="false">Monthly!S$18</f>
        <v>13725</v>
      </c>
      <c r="H375" s="24" t="str">
        <f aca="false">ScenarioName</f>
        <v>Base</v>
      </c>
    </row>
    <row r="376" customFormat="false" ht="15" hidden="false" customHeight="false" outlineLevel="0" collapsed="false">
      <c r="A376" s="8" t="n">
        <v>15</v>
      </c>
      <c r="B376" s="39" t="n">
        <f aca="false">EDATE(StartDate,A376-1)</f>
        <v>46813</v>
      </c>
      <c r="C376" s="24" t="str">
        <f aca="false">Monthly!$B$18</f>
        <v>EnergyWave, Inc.</v>
      </c>
      <c r="D376" s="24" t="str">
        <f aca="false">Monthly!$C$18</f>
        <v>Payroll</v>
      </c>
      <c r="E376" s="24" t="str">
        <f aca="false">Monthly!$D$18</f>
        <v>Salary &amp; load</v>
      </c>
      <c r="F376" s="24" t="str">
        <f aca="false">Monthly!$A$18</f>
        <v>Test &amp; Instrumentation Engineer 1 (calorimetry)</v>
      </c>
      <c r="G376" s="20" t="n">
        <f aca="false">Monthly!T$18</f>
        <v>13725</v>
      </c>
      <c r="H376" s="24" t="str">
        <f aca="false">ScenarioName</f>
        <v>Base</v>
      </c>
    </row>
    <row r="377" customFormat="false" ht="15" hidden="false" customHeight="false" outlineLevel="0" collapsed="false">
      <c r="A377" s="8" t="n">
        <v>16</v>
      </c>
      <c r="B377" s="39" t="n">
        <f aca="false">EDATE(StartDate,A377-1)</f>
        <v>46844</v>
      </c>
      <c r="C377" s="24" t="str">
        <f aca="false">Monthly!$B$18</f>
        <v>EnergyWave, Inc.</v>
      </c>
      <c r="D377" s="24" t="str">
        <f aca="false">Monthly!$C$18</f>
        <v>Payroll</v>
      </c>
      <c r="E377" s="24" t="str">
        <f aca="false">Monthly!$D$18</f>
        <v>Salary &amp; load</v>
      </c>
      <c r="F377" s="24" t="str">
        <f aca="false">Monthly!$A$18</f>
        <v>Test &amp; Instrumentation Engineer 1 (calorimetry)</v>
      </c>
      <c r="G377" s="20" t="n">
        <f aca="false">Monthly!U$18</f>
        <v>13725</v>
      </c>
      <c r="H377" s="24" t="str">
        <f aca="false">ScenarioName</f>
        <v>Base</v>
      </c>
    </row>
    <row r="378" customFormat="false" ht="15" hidden="false" customHeight="false" outlineLevel="0" collapsed="false">
      <c r="A378" s="8" t="n">
        <v>17</v>
      </c>
      <c r="B378" s="39" t="n">
        <f aca="false">EDATE(StartDate,A378-1)</f>
        <v>46874</v>
      </c>
      <c r="C378" s="24" t="str">
        <f aca="false">Monthly!$B$18</f>
        <v>EnergyWave, Inc.</v>
      </c>
      <c r="D378" s="24" t="str">
        <f aca="false">Monthly!$C$18</f>
        <v>Payroll</v>
      </c>
      <c r="E378" s="24" t="str">
        <f aca="false">Monthly!$D$18</f>
        <v>Salary &amp; load</v>
      </c>
      <c r="F378" s="24" t="str">
        <f aca="false">Monthly!$A$18</f>
        <v>Test &amp; Instrumentation Engineer 1 (calorimetry)</v>
      </c>
      <c r="G378" s="20" t="n">
        <f aca="false">Monthly!V$18</f>
        <v>13725</v>
      </c>
      <c r="H378" s="24" t="str">
        <f aca="false">ScenarioName</f>
        <v>Base</v>
      </c>
    </row>
    <row r="379" customFormat="false" ht="15" hidden="false" customHeight="false" outlineLevel="0" collapsed="false">
      <c r="A379" s="8" t="n">
        <v>18</v>
      </c>
      <c r="B379" s="39" t="n">
        <f aca="false">EDATE(StartDate,A379-1)</f>
        <v>46905</v>
      </c>
      <c r="C379" s="24" t="str">
        <f aca="false">Monthly!$B$18</f>
        <v>EnergyWave, Inc.</v>
      </c>
      <c r="D379" s="24" t="str">
        <f aca="false">Monthly!$C$18</f>
        <v>Payroll</v>
      </c>
      <c r="E379" s="24" t="str">
        <f aca="false">Monthly!$D$18</f>
        <v>Salary &amp; load</v>
      </c>
      <c r="F379" s="24" t="str">
        <f aca="false">Monthly!$A$18</f>
        <v>Test &amp; Instrumentation Engineer 1 (calorimetry)</v>
      </c>
      <c r="G379" s="20" t="n">
        <f aca="false">Monthly!W$18</f>
        <v>13725</v>
      </c>
      <c r="H379" s="24" t="str">
        <f aca="false">ScenarioName</f>
        <v>Base</v>
      </c>
    </row>
    <row r="380" customFormat="false" ht="15" hidden="false" customHeight="false" outlineLevel="0" collapsed="false">
      <c r="A380" s="8" t="n">
        <v>19</v>
      </c>
      <c r="B380" s="39" t="n">
        <f aca="false">EDATE(StartDate,A380-1)</f>
        <v>46935</v>
      </c>
      <c r="C380" s="24" t="str">
        <f aca="false">Monthly!$B$18</f>
        <v>EnergyWave, Inc.</v>
      </c>
      <c r="D380" s="24" t="str">
        <f aca="false">Monthly!$C$18</f>
        <v>Payroll</v>
      </c>
      <c r="E380" s="24" t="str">
        <f aca="false">Monthly!$D$18</f>
        <v>Salary &amp; load</v>
      </c>
      <c r="F380" s="24" t="str">
        <f aca="false">Monthly!$A$18</f>
        <v>Test &amp; Instrumentation Engineer 1 (calorimetry)</v>
      </c>
      <c r="G380" s="20" t="n">
        <f aca="false">Monthly!X$18</f>
        <v>13725</v>
      </c>
      <c r="H380" s="24" t="str">
        <f aca="false">ScenarioName</f>
        <v>Base</v>
      </c>
    </row>
    <row r="381" customFormat="false" ht="15" hidden="false" customHeight="false" outlineLevel="0" collapsed="false">
      <c r="A381" s="8" t="n">
        <v>20</v>
      </c>
      <c r="B381" s="39" t="n">
        <f aca="false">EDATE(StartDate,A381-1)</f>
        <v>46966</v>
      </c>
      <c r="C381" s="24" t="str">
        <f aca="false">Monthly!$B$18</f>
        <v>EnergyWave, Inc.</v>
      </c>
      <c r="D381" s="24" t="str">
        <f aca="false">Monthly!$C$18</f>
        <v>Payroll</v>
      </c>
      <c r="E381" s="24" t="str">
        <f aca="false">Monthly!$D$18</f>
        <v>Salary &amp; load</v>
      </c>
      <c r="F381" s="24" t="str">
        <f aca="false">Monthly!$A$18</f>
        <v>Test &amp; Instrumentation Engineer 1 (calorimetry)</v>
      </c>
      <c r="G381" s="20" t="n">
        <f aca="false">Monthly!Y$18</f>
        <v>13725</v>
      </c>
      <c r="H381" s="24" t="str">
        <f aca="false">ScenarioName</f>
        <v>Base</v>
      </c>
    </row>
    <row r="382" customFormat="false" ht="15" hidden="false" customHeight="false" outlineLevel="0" collapsed="false">
      <c r="A382" s="8" t="n">
        <v>21</v>
      </c>
      <c r="B382" s="39" t="n">
        <f aca="false">EDATE(StartDate,A382-1)</f>
        <v>46997</v>
      </c>
      <c r="C382" s="24" t="str">
        <f aca="false">Monthly!$B$18</f>
        <v>EnergyWave, Inc.</v>
      </c>
      <c r="D382" s="24" t="str">
        <f aca="false">Monthly!$C$18</f>
        <v>Payroll</v>
      </c>
      <c r="E382" s="24" t="str">
        <f aca="false">Monthly!$D$18</f>
        <v>Salary &amp; load</v>
      </c>
      <c r="F382" s="24" t="str">
        <f aca="false">Monthly!$A$18</f>
        <v>Test &amp; Instrumentation Engineer 1 (calorimetry)</v>
      </c>
      <c r="G382" s="20" t="n">
        <f aca="false">Monthly!Z$18</f>
        <v>13725</v>
      </c>
      <c r="H382" s="24" t="str">
        <f aca="false">ScenarioName</f>
        <v>Base</v>
      </c>
    </row>
    <row r="383" customFormat="false" ht="15" hidden="false" customHeight="false" outlineLevel="0" collapsed="false">
      <c r="A383" s="8" t="n">
        <v>22</v>
      </c>
      <c r="B383" s="39" t="n">
        <f aca="false">EDATE(StartDate,A383-1)</f>
        <v>47027</v>
      </c>
      <c r="C383" s="24" t="str">
        <f aca="false">Monthly!$B$18</f>
        <v>EnergyWave, Inc.</v>
      </c>
      <c r="D383" s="24" t="str">
        <f aca="false">Monthly!$C$18</f>
        <v>Payroll</v>
      </c>
      <c r="E383" s="24" t="str">
        <f aca="false">Monthly!$D$18</f>
        <v>Salary &amp; load</v>
      </c>
      <c r="F383" s="24" t="str">
        <f aca="false">Monthly!$A$18</f>
        <v>Test &amp; Instrumentation Engineer 1 (calorimetry)</v>
      </c>
      <c r="G383" s="20" t="n">
        <f aca="false">Monthly!AA$18</f>
        <v>13725</v>
      </c>
      <c r="H383" s="24" t="str">
        <f aca="false">ScenarioName</f>
        <v>Base</v>
      </c>
    </row>
    <row r="384" customFormat="false" ht="15" hidden="false" customHeight="false" outlineLevel="0" collapsed="false">
      <c r="A384" s="8" t="n">
        <v>23</v>
      </c>
      <c r="B384" s="39" t="n">
        <f aca="false">EDATE(StartDate,A384-1)</f>
        <v>47058</v>
      </c>
      <c r="C384" s="24" t="str">
        <f aca="false">Monthly!$B$18</f>
        <v>EnergyWave, Inc.</v>
      </c>
      <c r="D384" s="24" t="str">
        <f aca="false">Monthly!$C$18</f>
        <v>Payroll</v>
      </c>
      <c r="E384" s="24" t="str">
        <f aca="false">Monthly!$D$18</f>
        <v>Salary &amp; load</v>
      </c>
      <c r="F384" s="24" t="str">
        <f aca="false">Monthly!$A$18</f>
        <v>Test &amp; Instrumentation Engineer 1 (calorimetry)</v>
      </c>
      <c r="G384" s="20" t="n">
        <f aca="false">Monthly!AB$18</f>
        <v>13725</v>
      </c>
      <c r="H384" s="24" t="str">
        <f aca="false">ScenarioName</f>
        <v>Base</v>
      </c>
    </row>
    <row r="385" customFormat="false" ht="15" hidden="false" customHeight="false" outlineLevel="0" collapsed="false">
      <c r="A385" s="8" t="n">
        <v>24</v>
      </c>
      <c r="B385" s="39" t="n">
        <f aca="false">EDATE(StartDate,A385-1)</f>
        <v>47088</v>
      </c>
      <c r="C385" s="24" t="str">
        <f aca="false">Monthly!$B$18</f>
        <v>EnergyWave, Inc.</v>
      </c>
      <c r="D385" s="24" t="str">
        <f aca="false">Monthly!$C$18</f>
        <v>Payroll</v>
      </c>
      <c r="E385" s="24" t="str">
        <f aca="false">Monthly!$D$18</f>
        <v>Salary &amp; load</v>
      </c>
      <c r="F385" s="24" t="str">
        <f aca="false">Monthly!$A$18</f>
        <v>Test &amp; Instrumentation Engineer 1 (calorimetry)</v>
      </c>
      <c r="G385" s="20" t="n">
        <f aca="false">Monthly!AC$18</f>
        <v>13725</v>
      </c>
      <c r="H385" s="24" t="str">
        <f aca="false">ScenarioName</f>
        <v>Base</v>
      </c>
    </row>
    <row r="386" customFormat="false" ht="15" hidden="false" customHeight="false" outlineLevel="0" collapsed="false">
      <c r="A386" s="8" t="n">
        <v>25</v>
      </c>
      <c r="B386" s="39" t="n">
        <f aca="false">EDATE(StartDate,A386-1)</f>
        <v>47119</v>
      </c>
      <c r="C386" s="24" t="str">
        <f aca="false">Monthly!$B$18</f>
        <v>EnergyWave, Inc.</v>
      </c>
      <c r="D386" s="24" t="str">
        <f aca="false">Monthly!$C$18</f>
        <v>Payroll</v>
      </c>
      <c r="E386" s="24" t="str">
        <f aca="false">Monthly!$D$18</f>
        <v>Salary &amp; load</v>
      </c>
      <c r="F386" s="24" t="str">
        <f aca="false">Monthly!$A$18</f>
        <v>Test &amp; Instrumentation Engineer 1 (calorimetry)</v>
      </c>
      <c r="G386" s="20" t="n">
        <f aca="false">Monthly!AD$18</f>
        <v>13725</v>
      </c>
      <c r="H386" s="24" t="str">
        <f aca="false">ScenarioName</f>
        <v>Base</v>
      </c>
    </row>
    <row r="387" customFormat="false" ht="15" hidden="false" customHeight="false" outlineLevel="0" collapsed="false">
      <c r="A387" s="8" t="n">
        <v>26</v>
      </c>
      <c r="B387" s="39" t="n">
        <f aca="false">EDATE(StartDate,A387-1)</f>
        <v>47150</v>
      </c>
      <c r="C387" s="24" t="str">
        <f aca="false">Monthly!$B$18</f>
        <v>EnergyWave, Inc.</v>
      </c>
      <c r="D387" s="24" t="str">
        <f aca="false">Monthly!$C$18</f>
        <v>Payroll</v>
      </c>
      <c r="E387" s="24" t="str">
        <f aca="false">Monthly!$D$18</f>
        <v>Salary &amp; load</v>
      </c>
      <c r="F387" s="24" t="str">
        <f aca="false">Monthly!$A$18</f>
        <v>Test &amp; Instrumentation Engineer 1 (calorimetry)</v>
      </c>
      <c r="G387" s="20" t="n">
        <f aca="false">Monthly!AE$18</f>
        <v>13725</v>
      </c>
      <c r="H387" s="24" t="str">
        <f aca="false">ScenarioName</f>
        <v>Base</v>
      </c>
    </row>
    <row r="388" customFormat="false" ht="15" hidden="false" customHeight="false" outlineLevel="0" collapsed="false">
      <c r="A388" s="8" t="n">
        <v>27</v>
      </c>
      <c r="B388" s="39" t="n">
        <f aca="false">EDATE(StartDate,A388-1)</f>
        <v>47178</v>
      </c>
      <c r="C388" s="24" t="str">
        <f aca="false">Monthly!$B$18</f>
        <v>EnergyWave, Inc.</v>
      </c>
      <c r="D388" s="24" t="str">
        <f aca="false">Monthly!$C$18</f>
        <v>Payroll</v>
      </c>
      <c r="E388" s="24" t="str">
        <f aca="false">Monthly!$D$18</f>
        <v>Salary &amp; load</v>
      </c>
      <c r="F388" s="24" t="str">
        <f aca="false">Monthly!$A$18</f>
        <v>Test &amp; Instrumentation Engineer 1 (calorimetry)</v>
      </c>
      <c r="G388" s="20" t="n">
        <f aca="false">Monthly!AF$18</f>
        <v>13725</v>
      </c>
      <c r="H388" s="24" t="str">
        <f aca="false">ScenarioName</f>
        <v>Base</v>
      </c>
    </row>
    <row r="389" customFormat="false" ht="15" hidden="false" customHeight="false" outlineLevel="0" collapsed="false">
      <c r="A389" s="8" t="n">
        <v>28</v>
      </c>
      <c r="B389" s="39" t="n">
        <f aca="false">EDATE(StartDate,A389-1)</f>
        <v>47209</v>
      </c>
      <c r="C389" s="24" t="str">
        <f aca="false">Monthly!$B$18</f>
        <v>EnergyWave, Inc.</v>
      </c>
      <c r="D389" s="24" t="str">
        <f aca="false">Monthly!$C$18</f>
        <v>Payroll</v>
      </c>
      <c r="E389" s="24" t="str">
        <f aca="false">Monthly!$D$18</f>
        <v>Salary &amp; load</v>
      </c>
      <c r="F389" s="24" t="str">
        <f aca="false">Monthly!$A$18</f>
        <v>Test &amp; Instrumentation Engineer 1 (calorimetry)</v>
      </c>
      <c r="G389" s="20" t="n">
        <f aca="false">Monthly!AG$18</f>
        <v>13725</v>
      </c>
      <c r="H389" s="24" t="str">
        <f aca="false">ScenarioName</f>
        <v>Base</v>
      </c>
    </row>
    <row r="390" customFormat="false" ht="15" hidden="false" customHeight="false" outlineLevel="0" collapsed="false">
      <c r="A390" s="8" t="n">
        <v>29</v>
      </c>
      <c r="B390" s="39" t="n">
        <f aca="false">EDATE(StartDate,A390-1)</f>
        <v>47239</v>
      </c>
      <c r="C390" s="24" t="str">
        <f aca="false">Monthly!$B$18</f>
        <v>EnergyWave, Inc.</v>
      </c>
      <c r="D390" s="24" t="str">
        <f aca="false">Monthly!$C$18</f>
        <v>Payroll</v>
      </c>
      <c r="E390" s="24" t="str">
        <f aca="false">Monthly!$D$18</f>
        <v>Salary &amp; load</v>
      </c>
      <c r="F390" s="24" t="str">
        <f aca="false">Monthly!$A$18</f>
        <v>Test &amp; Instrumentation Engineer 1 (calorimetry)</v>
      </c>
      <c r="G390" s="20" t="n">
        <f aca="false">Monthly!AH$18</f>
        <v>13725</v>
      </c>
      <c r="H390" s="24" t="str">
        <f aca="false">ScenarioName</f>
        <v>Base</v>
      </c>
    </row>
    <row r="391" customFormat="false" ht="15" hidden="false" customHeight="false" outlineLevel="0" collapsed="false">
      <c r="A391" s="8" t="n">
        <v>30</v>
      </c>
      <c r="B391" s="39" t="n">
        <f aca="false">EDATE(StartDate,A391-1)</f>
        <v>47270</v>
      </c>
      <c r="C391" s="24" t="str">
        <f aca="false">Monthly!$B$18</f>
        <v>EnergyWave, Inc.</v>
      </c>
      <c r="D391" s="24" t="str">
        <f aca="false">Monthly!$C$18</f>
        <v>Payroll</v>
      </c>
      <c r="E391" s="24" t="str">
        <f aca="false">Monthly!$D$18</f>
        <v>Salary &amp; load</v>
      </c>
      <c r="F391" s="24" t="str">
        <f aca="false">Monthly!$A$18</f>
        <v>Test &amp; Instrumentation Engineer 1 (calorimetry)</v>
      </c>
      <c r="G391" s="20" t="n">
        <f aca="false">Monthly!AI$18</f>
        <v>13725</v>
      </c>
      <c r="H391" s="24" t="str">
        <f aca="false">ScenarioName</f>
        <v>Base</v>
      </c>
    </row>
    <row r="392" customFormat="false" ht="15" hidden="false" customHeight="false" outlineLevel="0" collapsed="false">
      <c r="A392" s="8" t="n">
        <v>31</v>
      </c>
      <c r="B392" s="39" t="n">
        <f aca="false">EDATE(StartDate,A392-1)</f>
        <v>47300</v>
      </c>
      <c r="C392" s="24" t="str">
        <f aca="false">Monthly!$B$18</f>
        <v>EnergyWave, Inc.</v>
      </c>
      <c r="D392" s="24" t="str">
        <f aca="false">Monthly!$C$18</f>
        <v>Payroll</v>
      </c>
      <c r="E392" s="24" t="str">
        <f aca="false">Monthly!$D$18</f>
        <v>Salary &amp; load</v>
      </c>
      <c r="F392" s="24" t="str">
        <f aca="false">Monthly!$A$18</f>
        <v>Test &amp; Instrumentation Engineer 1 (calorimetry)</v>
      </c>
      <c r="G392" s="20" t="n">
        <f aca="false">Monthly!AJ$18</f>
        <v>13725</v>
      </c>
      <c r="H392" s="24" t="str">
        <f aca="false">ScenarioName</f>
        <v>Base</v>
      </c>
    </row>
    <row r="393" customFormat="false" ht="15" hidden="false" customHeight="false" outlineLevel="0" collapsed="false">
      <c r="A393" s="8" t="n">
        <v>32</v>
      </c>
      <c r="B393" s="39" t="n">
        <f aca="false">EDATE(StartDate,A393-1)</f>
        <v>47331</v>
      </c>
      <c r="C393" s="24" t="str">
        <f aca="false">Monthly!$B$18</f>
        <v>EnergyWave, Inc.</v>
      </c>
      <c r="D393" s="24" t="str">
        <f aca="false">Monthly!$C$18</f>
        <v>Payroll</v>
      </c>
      <c r="E393" s="24" t="str">
        <f aca="false">Monthly!$D$18</f>
        <v>Salary &amp; load</v>
      </c>
      <c r="F393" s="24" t="str">
        <f aca="false">Monthly!$A$18</f>
        <v>Test &amp; Instrumentation Engineer 1 (calorimetry)</v>
      </c>
      <c r="G393" s="20" t="n">
        <f aca="false">Monthly!AK$18</f>
        <v>13725</v>
      </c>
      <c r="H393" s="24" t="str">
        <f aca="false">ScenarioName</f>
        <v>Base</v>
      </c>
    </row>
    <row r="394" customFormat="false" ht="15" hidden="false" customHeight="false" outlineLevel="0" collapsed="false">
      <c r="A394" s="8" t="n">
        <v>33</v>
      </c>
      <c r="B394" s="39" t="n">
        <f aca="false">EDATE(StartDate,A394-1)</f>
        <v>47362</v>
      </c>
      <c r="C394" s="24" t="str">
        <f aca="false">Monthly!$B$18</f>
        <v>EnergyWave, Inc.</v>
      </c>
      <c r="D394" s="24" t="str">
        <f aca="false">Monthly!$C$18</f>
        <v>Payroll</v>
      </c>
      <c r="E394" s="24" t="str">
        <f aca="false">Monthly!$D$18</f>
        <v>Salary &amp; load</v>
      </c>
      <c r="F394" s="24" t="str">
        <f aca="false">Monthly!$A$18</f>
        <v>Test &amp; Instrumentation Engineer 1 (calorimetry)</v>
      </c>
      <c r="G394" s="20" t="n">
        <f aca="false">Monthly!AL$18</f>
        <v>13725</v>
      </c>
      <c r="H394" s="24" t="str">
        <f aca="false">ScenarioName</f>
        <v>Base</v>
      </c>
    </row>
    <row r="395" customFormat="false" ht="15" hidden="false" customHeight="false" outlineLevel="0" collapsed="false">
      <c r="A395" s="8" t="n">
        <v>34</v>
      </c>
      <c r="B395" s="39" t="n">
        <f aca="false">EDATE(StartDate,A395-1)</f>
        <v>47392</v>
      </c>
      <c r="C395" s="24" t="str">
        <f aca="false">Monthly!$B$18</f>
        <v>EnergyWave, Inc.</v>
      </c>
      <c r="D395" s="24" t="str">
        <f aca="false">Monthly!$C$18</f>
        <v>Payroll</v>
      </c>
      <c r="E395" s="24" t="str">
        <f aca="false">Monthly!$D$18</f>
        <v>Salary &amp; load</v>
      </c>
      <c r="F395" s="24" t="str">
        <f aca="false">Monthly!$A$18</f>
        <v>Test &amp; Instrumentation Engineer 1 (calorimetry)</v>
      </c>
      <c r="G395" s="20" t="n">
        <f aca="false">Monthly!AM$18</f>
        <v>13725</v>
      </c>
      <c r="H395" s="24" t="str">
        <f aca="false">ScenarioName</f>
        <v>Base</v>
      </c>
    </row>
    <row r="396" customFormat="false" ht="15" hidden="false" customHeight="false" outlineLevel="0" collapsed="false">
      <c r="A396" s="8" t="n">
        <v>35</v>
      </c>
      <c r="B396" s="39" t="n">
        <f aca="false">EDATE(StartDate,A396-1)</f>
        <v>47423</v>
      </c>
      <c r="C396" s="24" t="str">
        <f aca="false">Monthly!$B$18</f>
        <v>EnergyWave, Inc.</v>
      </c>
      <c r="D396" s="24" t="str">
        <f aca="false">Monthly!$C$18</f>
        <v>Payroll</v>
      </c>
      <c r="E396" s="24" t="str">
        <f aca="false">Monthly!$D$18</f>
        <v>Salary &amp; load</v>
      </c>
      <c r="F396" s="24" t="str">
        <f aca="false">Monthly!$A$18</f>
        <v>Test &amp; Instrumentation Engineer 1 (calorimetry)</v>
      </c>
      <c r="G396" s="20" t="n">
        <f aca="false">Monthly!AN$18</f>
        <v>13725</v>
      </c>
      <c r="H396" s="24" t="str">
        <f aca="false">ScenarioName</f>
        <v>Base</v>
      </c>
    </row>
    <row r="397" customFormat="false" ht="15" hidden="false" customHeight="false" outlineLevel="0" collapsed="false">
      <c r="A397" s="8" t="n">
        <v>36</v>
      </c>
      <c r="B397" s="39" t="n">
        <f aca="false">EDATE(StartDate,A397-1)</f>
        <v>47453</v>
      </c>
      <c r="C397" s="24" t="str">
        <f aca="false">Monthly!$B$18</f>
        <v>EnergyWave, Inc.</v>
      </c>
      <c r="D397" s="24" t="str">
        <f aca="false">Monthly!$C$18</f>
        <v>Payroll</v>
      </c>
      <c r="E397" s="24" t="str">
        <f aca="false">Monthly!$D$18</f>
        <v>Salary &amp; load</v>
      </c>
      <c r="F397" s="24" t="str">
        <f aca="false">Monthly!$A$18</f>
        <v>Test &amp; Instrumentation Engineer 1 (calorimetry)</v>
      </c>
      <c r="G397" s="20" t="n">
        <f aca="false">Monthly!AO$18</f>
        <v>13725</v>
      </c>
      <c r="H397" s="24" t="str">
        <f aca="false">ScenarioName</f>
        <v>Base</v>
      </c>
    </row>
    <row r="398" customFormat="false" ht="15" hidden="false" customHeight="false" outlineLevel="0" collapsed="false">
      <c r="A398" s="8" t="n">
        <v>1</v>
      </c>
      <c r="B398" s="39" t="n">
        <f aca="false">EDATE(StartDate,A398-1)</f>
        <v>46388</v>
      </c>
      <c r="C398" s="24" t="str">
        <f aca="false">Monthly!$B$19</f>
        <v>EnergyWave, Inc.</v>
      </c>
      <c r="D398" s="24" t="str">
        <f aca="false">Monthly!$C$19</f>
        <v>Payroll</v>
      </c>
      <c r="E398" s="24" t="str">
        <f aca="false">Monthly!$D$19</f>
        <v>Salary &amp; load</v>
      </c>
      <c r="F398" s="24" t="str">
        <f aca="false">Monthly!$A$19</f>
        <v>Test &amp; Instrumentation Engineer 2</v>
      </c>
      <c r="G398" s="20" t="n">
        <f aca="false">Monthly!F$19</f>
        <v>0</v>
      </c>
      <c r="H398" s="24" t="str">
        <f aca="false">ScenarioName</f>
        <v>Base</v>
      </c>
    </row>
    <row r="399" customFormat="false" ht="15" hidden="false" customHeight="false" outlineLevel="0" collapsed="false">
      <c r="A399" s="8" t="n">
        <v>2</v>
      </c>
      <c r="B399" s="39" t="n">
        <f aca="false">EDATE(StartDate,A399-1)</f>
        <v>46419</v>
      </c>
      <c r="C399" s="24" t="str">
        <f aca="false">Monthly!$B$19</f>
        <v>EnergyWave, Inc.</v>
      </c>
      <c r="D399" s="24" t="str">
        <f aca="false">Monthly!$C$19</f>
        <v>Payroll</v>
      </c>
      <c r="E399" s="24" t="str">
        <f aca="false">Monthly!$D$19</f>
        <v>Salary &amp; load</v>
      </c>
      <c r="F399" s="24" t="str">
        <f aca="false">Monthly!$A$19</f>
        <v>Test &amp; Instrumentation Engineer 2</v>
      </c>
      <c r="G399" s="20" t="n">
        <f aca="false">Monthly!G$19</f>
        <v>0</v>
      </c>
      <c r="H399" s="24" t="str">
        <f aca="false">ScenarioName</f>
        <v>Base</v>
      </c>
    </row>
    <row r="400" customFormat="false" ht="15" hidden="false" customHeight="false" outlineLevel="0" collapsed="false">
      <c r="A400" s="8" t="n">
        <v>3</v>
      </c>
      <c r="B400" s="39" t="n">
        <f aca="false">EDATE(StartDate,A400-1)</f>
        <v>46447</v>
      </c>
      <c r="C400" s="24" t="str">
        <f aca="false">Monthly!$B$19</f>
        <v>EnergyWave, Inc.</v>
      </c>
      <c r="D400" s="24" t="str">
        <f aca="false">Monthly!$C$19</f>
        <v>Payroll</v>
      </c>
      <c r="E400" s="24" t="str">
        <f aca="false">Monthly!$D$19</f>
        <v>Salary &amp; load</v>
      </c>
      <c r="F400" s="24" t="str">
        <f aca="false">Monthly!$A$19</f>
        <v>Test &amp; Instrumentation Engineer 2</v>
      </c>
      <c r="G400" s="20" t="n">
        <f aca="false">Monthly!H$19</f>
        <v>0</v>
      </c>
      <c r="H400" s="24" t="str">
        <f aca="false">ScenarioName</f>
        <v>Base</v>
      </c>
    </row>
    <row r="401" customFormat="false" ht="15" hidden="false" customHeight="false" outlineLevel="0" collapsed="false">
      <c r="A401" s="8" t="n">
        <v>4</v>
      </c>
      <c r="B401" s="39" t="n">
        <f aca="false">EDATE(StartDate,A401-1)</f>
        <v>46478</v>
      </c>
      <c r="C401" s="24" t="str">
        <f aca="false">Monthly!$B$19</f>
        <v>EnergyWave, Inc.</v>
      </c>
      <c r="D401" s="24" t="str">
        <f aca="false">Monthly!$C$19</f>
        <v>Payroll</v>
      </c>
      <c r="E401" s="24" t="str">
        <f aca="false">Monthly!$D$19</f>
        <v>Salary &amp; load</v>
      </c>
      <c r="F401" s="24" t="str">
        <f aca="false">Monthly!$A$19</f>
        <v>Test &amp; Instrumentation Engineer 2</v>
      </c>
      <c r="G401" s="20" t="n">
        <f aca="false">Monthly!I$19</f>
        <v>13725</v>
      </c>
      <c r="H401" s="24" t="str">
        <f aca="false">ScenarioName</f>
        <v>Base</v>
      </c>
    </row>
    <row r="402" customFormat="false" ht="15" hidden="false" customHeight="false" outlineLevel="0" collapsed="false">
      <c r="A402" s="8" t="n">
        <v>5</v>
      </c>
      <c r="B402" s="39" t="n">
        <f aca="false">EDATE(StartDate,A402-1)</f>
        <v>46508</v>
      </c>
      <c r="C402" s="24" t="str">
        <f aca="false">Monthly!$B$19</f>
        <v>EnergyWave, Inc.</v>
      </c>
      <c r="D402" s="24" t="str">
        <f aca="false">Monthly!$C$19</f>
        <v>Payroll</v>
      </c>
      <c r="E402" s="24" t="str">
        <f aca="false">Monthly!$D$19</f>
        <v>Salary &amp; load</v>
      </c>
      <c r="F402" s="24" t="str">
        <f aca="false">Monthly!$A$19</f>
        <v>Test &amp; Instrumentation Engineer 2</v>
      </c>
      <c r="G402" s="20" t="n">
        <f aca="false">Monthly!J$19</f>
        <v>13725</v>
      </c>
      <c r="H402" s="24" t="str">
        <f aca="false">ScenarioName</f>
        <v>Base</v>
      </c>
    </row>
    <row r="403" customFormat="false" ht="15" hidden="false" customHeight="false" outlineLevel="0" collapsed="false">
      <c r="A403" s="8" t="n">
        <v>6</v>
      </c>
      <c r="B403" s="39" t="n">
        <f aca="false">EDATE(StartDate,A403-1)</f>
        <v>46539</v>
      </c>
      <c r="C403" s="24" t="str">
        <f aca="false">Monthly!$B$19</f>
        <v>EnergyWave, Inc.</v>
      </c>
      <c r="D403" s="24" t="str">
        <f aca="false">Monthly!$C$19</f>
        <v>Payroll</v>
      </c>
      <c r="E403" s="24" t="str">
        <f aca="false">Monthly!$D$19</f>
        <v>Salary &amp; load</v>
      </c>
      <c r="F403" s="24" t="str">
        <f aca="false">Monthly!$A$19</f>
        <v>Test &amp; Instrumentation Engineer 2</v>
      </c>
      <c r="G403" s="20" t="n">
        <f aca="false">Monthly!K$19</f>
        <v>13725</v>
      </c>
      <c r="H403" s="24" t="str">
        <f aca="false">ScenarioName</f>
        <v>Base</v>
      </c>
    </row>
    <row r="404" customFormat="false" ht="15" hidden="false" customHeight="false" outlineLevel="0" collapsed="false">
      <c r="A404" s="8" t="n">
        <v>7</v>
      </c>
      <c r="B404" s="39" t="n">
        <f aca="false">EDATE(StartDate,A404-1)</f>
        <v>46569</v>
      </c>
      <c r="C404" s="24" t="str">
        <f aca="false">Monthly!$B$19</f>
        <v>EnergyWave, Inc.</v>
      </c>
      <c r="D404" s="24" t="str">
        <f aca="false">Monthly!$C$19</f>
        <v>Payroll</v>
      </c>
      <c r="E404" s="24" t="str">
        <f aca="false">Monthly!$D$19</f>
        <v>Salary &amp; load</v>
      </c>
      <c r="F404" s="24" t="str">
        <f aca="false">Monthly!$A$19</f>
        <v>Test &amp; Instrumentation Engineer 2</v>
      </c>
      <c r="G404" s="20" t="n">
        <f aca="false">Monthly!L$19</f>
        <v>13725</v>
      </c>
      <c r="H404" s="24" t="str">
        <f aca="false">ScenarioName</f>
        <v>Base</v>
      </c>
    </row>
    <row r="405" customFormat="false" ht="15" hidden="false" customHeight="false" outlineLevel="0" collapsed="false">
      <c r="A405" s="8" t="n">
        <v>8</v>
      </c>
      <c r="B405" s="39" t="n">
        <f aca="false">EDATE(StartDate,A405-1)</f>
        <v>46600</v>
      </c>
      <c r="C405" s="24" t="str">
        <f aca="false">Monthly!$B$19</f>
        <v>EnergyWave, Inc.</v>
      </c>
      <c r="D405" s="24" t="str">
        <f aca="false">Monthly!$C$19</f>
        <v>Payroll</v>
      </c>
      <c r="E405" s="24" t="str">
        <f aca="false">Monthly!$D$19</f>
        <v>Salary &amp; load</v>
      </c>
      <c r="F405" s="24" t="str">
        <f aca="false">Monthly!$A$19</f>
        <v>Test &amp; Instrumentation Engineer 2</v>
      </c>
      <c r="G405" s="20" t="n">
        <f aca="false">Monthly!M$19</f>
        <v>13725</v>
      </c>
      <c r="H405" s="24" t="str">
        <f aca="false">ScenarioName</f>
        <v>Base</v>
      </c>
    </row>
    <row r="406" customFormat="false" ht="15" hidden="false" customHeight="false" outlineLevel="0" collapsed="false">
      <c r="A406" s="8" t="n">
        <v>9</v>
      </c>
      <c r="B406" s="39" t="n">
        <f aca="false">EDATE(StartDate,A406-1)</f>
        <v>46631</v>
      </c>
      <c r="C406" s="24" t="str">
        <f aca="false">Monthly!$B$19</f>
        <v>EnergyWave, Inc.</v>
      </c>
      <c r="D406" s="24" t="str">
        <f aca="false">Monthly!$C$19</f>
        <v>Payroll</v>
      </c>
      <c r="E406" s="24" t="str">
        <f aca="false">Monthly!$D$19</f>
        <v>Salary &amp; load</v>
      </c>
      <c r="F406" s="24" t="str">
        <f aca="false">Monthly!$A$19</f>
        <v>Test &amp; Instrumentation Engineer 2</v>
      </c>
      <c r="G406" s="20" t="n">
        <f aca="false">Monthly!N$19</f>
        <v>13725</v>
      </c>
      <c r="H406" s="24" t="str">
        <f aca="false">ScenarioName</f>
        <v>Base</v>
      </c>
    </row>
    <row r="407" customFormat="false" ht="15" hidden="false" customHeight="false" outlineLevel="0" collapsed="false">
      <c r="A407" s="8" t="n">
        <v>10</v>
      </c>
      <c r="B407" s="39" t="n">
        <f aca="false">EDATE(StartDate,A407-1)</f>
        <v>46661</v>
      </c>
      <c r="C407" s="24" t="str">
        <f aca="false">Monthly!$B$19</f>
        <v>EnergyWave, Inc.</v>
      </c>
      <c r="D407" s="24" t="str">
        <f aca="false">Monthly!$C$19</f>
        <v>Payroll</v>
      </c>
      <c r="E407" s="24" t="str">
        <f aca="false">Monthly!$D$19</f>
        <v>Salary &amp; load</v>
      </c>
      <c r="F407" s="24" t="str">
        <f aca="false">Monthly!$A$19</f>
        <v>Test &amp; Instrumentation Engineer 2</v>
      </c>
      <c r="G407" s="20" t="n">
        <f aca="false">Monthly!O$19</f>
        <v>13725</v>
      </c>
      <c r="H407" s="24" t="str">
        <f aca="false">ScenarioName</f>
        <v>Base</v>
      </c>
    </row>
    <row r="408" customFormat="false" ht="15" hidden="false" customHeight="false" outlineLevel="0" collapsed="false">
      <c r="A408" s="8" t="n">
        <v>11</v>
      </c>
      <c r="B408" s="39" t="n">
        <f aca="false">EDATE(StartDate,A408-1)</f>
        <v>46692</v>
      </c>
      <c r="C408" s="24" t="str">
        <f aca="false">Monthly!$B$19</f>
        <v>EnergyWave, Inc.</v>
      </c>
      <c r="D408" s="24" t="str">
        <f aca="false">Monthly!$C$19</f>
        <v>Payroll</v>
      </c>
      <c r="E408" s="24" t="str">
        <f aca="false">Monthly!$D$19</f>
        <v>Salary &amp; load</v>
      </c>
      <c r="F408" s="24" t="str">
        <f aca="false">Monthly!$A$19</f>
        <v>Test &amp; Instrumentation Engineer 2</v>
      </c>
      <c r="G408" s="20" t="n">
        <f aca="false">Monthly!P$19</f>
        <v>13725</v>
      </c>
      <c r="H408" s="24" t="str">
        <f aca="false">ScenarioName</f>
        <v>Base</v>
      </c>
    </row>
    <row r="409" customFormat="false" ht="15" hidden="false" customHeight="false" outlineLevel="0" collapsed="false">
      <c r="A409" s="8" t="n">
        <v>12</v>
      </c>
      <c r="B409" s="39" t="n">
        <f aca="false">EDATE(StartDate,A409-1)</f>
        <v>46722</v>
      </c>
      <c r="C409" s="24" t="str">
        <f aca="false">Monthly!$B$19</f>
        <v>EnergyWave, Inc.</v>
      </c>
      <c r="D409" s="24" t="str">
        <f aca="false">Monthly!$C$19</f>
        <v>Payroll</v>
      </c>
      <c r="E409" s="24" t="str">
        <f aca="false">Monthly!$D$19</f>
        <v>Salary &amp; load</v>
      </c>
      <c r="F409" s="24" t="str">
        <f aca="false">Monthly!$A$19</f>
        <v>Test &amp; Instrumentation Engineer 2</v>
      </c>
      <c r="G409" s="20" t="n">
        <f aca="false">Monthly!Q$19</f>
        <v>13725</v>
      </c>
      <c r="H409" s="24" t="str">
        <f aca="false">ScenarioName</f>
        <v>Base</v>
      </c>
    </row>
    <row r="410" customFormat="false" ht="15" hidden="false" customHeight="false" outlineLevel="0" collapsed="false">
      <c r="A410" s="8" t="n">
        <v>13</v>
      </c>
      <c r="B410" s="39" t="n">
        <f aca="false">EDATE(StartDate,A410-1)</f>
        <v>46753</v>
      </c>
      <c r="C410" s="24" t="str">
        <f aca="false">Monthly!$B$19</f>
        <v>EnergyWave, Inc.</v>
      </c>
      <c r="D410" s="24" t="str">
        <f aca="false">Monthly!$C$19</f>
        <v>Payroll</v>
      </c>
      <c r="E410" s="24" t="str">
        <f aca="false">Monthly!$D$19</f>
        <v>Salary &amp; load</v>
      </c>
      <c r="F410" s="24" t="str">
        <f aca="false">Monthly!$A$19</f>
        <v>Test &amp; Instrumentation Engineer 2</v>
      </c>
      <c r="G410" s="20" t="n">
        <f aca="false">Monthly!R$19</f>
        <v>13725</v>
      </c>
      <c r="H410" s="24" t="str">
        <f aca="false">ScenarioName</f>
        <v>Base</v>
      </c>
    </row>
    <row r="411" customFormat="false" ht="15" hidden="false" customHeight="false" outlineLevel="0" collapsed="false">
      <c r="A411" s="8" t="n">
        <v>14</v>
      </c>
      <c r="B411" s="39" t="n">
        <f aca="false">EDATE(StartDate,A411-1)</f>
        <v>46784</v>
      </c>
      <c r="C411" s="24" t="str">
        <f aca="false">Monthly!$B$19</f>
        <v>EnergyWave, Inc.</v>
      </c>
      <c r="D411" s="24" t="str">
        <f aca="false">Monthly!$C$19</f>
        <v>Payroll</v>
      </c>
      <c r="E411" s="24" t="str">
        <f aca="false">Monthly!$D$19</f>
        <v>Salary &amp; load</v>
      </c>
      <c r="F411" s="24" t="str">
        <f aca="false">Monthly!$A$19</f>
        <v>Test &amp; Instrumentation Engineer 2</v>
      </c>
      <c r="G411" s="20" t="n">
        <f aca="false">Monthly!S$19</f>
        <v>13725</v>
      </c>
      <c r="H411" s="24" t="str">
        <f aca="false">ScenarioName</f>
        <v>Base</v>
      </c>
    </row>
    <row r="412" customFormat="false" ht="15" hidden="false" customHeight="false" outlineLevel="0" collapsed="false">
      <c r="A412" s="8" t="n">
        <v>15</v>
      </c>
      <c r="B412" s="39" t="n">
        <f aca="false">EDATE(StartDate,A412-1)</f>
        <v>46813</v>
      </c>
      <c r="C412" s="24" t="str">
        <f aca="false">Monthly!$B$19</f>
        <v>EnergyWave, Inc.</v>
      </c>
      <c r="D412" s="24" t="str">
        <f aca="false">Monthly!$C$19</f>
        <v>Payroll</v>
      </c>
      <c r="E412" s="24" t="str">
        <f aca="false">Monthly!$D$19</f>
        <v>Salary &amp; load</v>
      </c>
      <c r="F412" s="24" t="str">
        <f aca="false">Monthly!$A$19</f>
        <v>Test &amp; Instrumentation Engineer 2</v>
      </c>
      <c r="G412" s="20" t="n">
        <f aca="false">Monthly!T$19</f>
        <v>13725</v>
      </c>
      <c r="H412" s="24" t="str">
        <f aca="false">ScenarioName</f>
        <v>Base</v>
      </c>
    </row>
    <row r="413" customFormat="false" ht="15" hidden="false" customHeight="false" outlineLevel="0" collapsed="false">
      <c r="A413" s="8" t="n">
        <v>16</v>
      </c>
      <c r="B413" s="39" t="n">
        <f aca="false">EDATE(StartDate,A413-1)</f>
        <v>46844</v>
      </c>
      <c r="C413" s="24" t="str">
        <f aca="false">Monthly!$B$19</f>
        <v>EnergyWave, Inc.</v>
      </c>
      <c r="D413" s="24" t="str">
        <f aca="false">Monthly!$C$19</f>
        <v>Payroll</v>
      </c>
      <c r="E413" s="24" t="str">
        <f aca="false">Monthly!$D$19</f>
        <v>Salary &amp; load</v>
      </c>
      <c r="F413" s="24" t="str">
        <f aca="false">Monthly!$A$19</f>
        <v>Test &amp; Instrumentation Engineer 2</v>
      </c>
      <c r="G413" s="20" t="n">
        <f aca="false">Monthly!U$19</f>
        <v>13725</v>
      </c>
      <c r="H413" s="24" t="str">
        <f aca="false">ScenarioName</f>
        <v>Base</v>
      </c>
    </row>
    <row r="414" customFormat="false" ht="15" hidden="false" customHeight="false" outlineLevel="0" collapsed="false">
      <c r="A414" s="8" t="n">
        <v>17</v>
      </c>
      <c r="B414" s="39" t="n">
        <f aca="false">EDATE(StartDate,A414-1)</f>
        <v>46874</v>
      </c>
      <c r="C414" s="24" t="str">
        <f aca="false">Monthly!$B$19</f>
        <v>EnergyWave, Inc.</v>
      </c>
      <c r="D414" s="24" t="str">
        <f aca="false">Monthly!$C$19</f>
        <v>Payroll</v>
      </c>
      <c r="E414" s="24" t="str">
        <f aca="false">Monthly!$D$19</f>
        <v>Salary &amp; load</v>
      </c>
      <c r="F414" s="24" t="str">
        <f aca="false">Monthly!$A$19</f>
        <v>Test &amp; Instrumentation Engineer 2</v>
      </c>
      <c r="G414" s="20" t="n">
        <f aca="false">Monthly!V$19</f>
        <v>13725</v>
      </c>
      <c r="H414" s="24" t="str">
        <f aca="false">ScenarioName</f>
        <v>Base</v>
      </c>
    </row>
    <row r="415" customFormat="false" ht="15" hidden="false" customHeight="false" outlineLevel="0" collapsed="false">
      <c r="A415" s="8" t="n">
        <v>18</v>
      </c>
      <c r="B415" s="39" t="n">
        <f aca="false">EDATE(StartDate,A415-1)</f>
        <v>46905</v>
      </c>
      <c r="C415" s="24" t="str">
        <f aca="false">Monthly!$B$19</f>
        <v>EnergyWave, Inc.</v>
      </c>
      <c r="D415" s="24" t="str">
        <f aca="false">Monthly!$C$19</f>
        <v>Payroll</v>
      </c>
      <c r="E415" s="24" t="str">
        <f aca="false">Monthly!$D$19</f>
        <v>Salary &amp; load</v>
      </c>
      <c r="F415" s="24" t="str">
        <f aca="false">Monthly!$A$19</f>
        <v>Test &amp; Instrumentation Engineer 2</v>
      </c>
      <c r="G415" s="20" t="n">
        <f aca="false">Monthly!W$19</f>
        <v>13725</v>
      </c>
      <c r="H415" s="24" t="str">
        <f aca="false">ScenarioName</f>
        <v>Base</v>
      </c>
    </row>
    <row r="416" customFormat="false" ht="15" hidden="false" customHeight="false" outlineLevel="0" collapsed="false">
      <c r="A416" s="8" t="n">
        <v>19</v>
      </c>
      <c r="B416" s="39" t="n">
        <f aca="false">EDATE(StartDate,A416-1)</f>
        <v>46935</v>
      </c>
      <c r="C416" s="24" t="str">
        <f aca="false">Monthly!$B$19</f>
        <v>EnergyWave, Inc.</v>
      </c>
      <c r="D416" s="24" t="str">
        <f aca="false">Monthly!$C$19</f>
        <v>Payroll</v>
      </c>
      <c r="E416" s="24" t="str">
        <f aca="false">Monthly!$D$19</f>
        <v>Salary &amp; load</v>
      </c>
      <c r="F416" s="24" t="str">
        <f aca="false">Monthly!$A$19</f>
        <v>Test &amp; Instrumentation Engineer 2</v>
      </c>
      <c r="G416" s="20" t="n">
        <f aca="false">Monthly!X$19</f>
        <v>13725</v>
      </c>
      <c r="H416" s="24" t="str">
        <f aca="false">ScenarioName</f>
        <v>Base</v>
      </c>
    </row>
    <row r="417" customFormat="false" ht="15" hidden="false" customHeight="false" outlineLevel="0" collapsed="false">
      <c r="A417" s="8" t="n">
        <v>20</v>
      </c>
      <c r="B417" s="39" t="n">
        <f aca="false">EDATE(StartDate,A417-1)</f>
        <v>46966</v>
      </c>
      <c r="C417" s="24" t="str">
        <f aca="false">Monthly!$B$19</f>
        <v>EnergyWave, Inc.</v>
      </c>
      <c r="D417" s="24" t="str">
        <f aca="false">Monthly!$C$19</f>
        <v>Payroll</v>
      </c>
      <c r="E417" s="24" t="str">
        <f aca="false">Monthly!$D$19</f>
        <v>Salary &amp; load</v>
      </c>
      <c r="F417" s="24" t="str">
        <f aca="false">Monthly!$A$19</f>
        <v>Test &amp; Instrumentation Engineer 2</v>
      </c>
      <c r="G417" s="20" t="n">
        <f aca="false">Monthly!Y$19</f>
        <v>13725</v>
      </c>
      <c r="H417" s="24" t="str">
        <f aca="false">ScenarioName</f>
        <v>Base</v>
      </c>
    </row>
    <row r="418" customFormat="false" ht="15" hidden="false" customHeight="false" outlineLevel="0" collapsed="false">
      <c r="A418" s="8" t="n">
        <v>21</v>
      </c>
      <c r="B418" s="39" t="n">
        <f aca="false">EDATE(StartDate,A418-1)</f>
        <v>46997</v>
      </c>
      <c r="C418" s="24" t="str">
        <f aca="false">Monthly!$B$19</f>
        <v>EnergyWave, Inc.</v>
      </c>
      <c r="D418" s="24" t="str">
        <f aca="false">Monthly!$C$19</f>
        <v>Payroll</v>
      </c>
      <c r="E418" s="24" t="str">
        <f aca="false">Monthly!$D$19</f>
        <v>Salary &amp; load</v>
      </c>
      <c r="F418" s="24" t="str">
        <f aca="false">Monthly!$A$19</f>
        <v>Test &amp; Instrumentation Engineer 2</v>
      </c>
      <c r="G418" s="20" t="n">
        <f aca="false">Monthly!Z$19</f>
        <v>13725</v>
      </c>
      <c r="H418" s="24" t="str">
        <f aca="false">ScenarioName</f>
        <v>Base</v>
      </c>
    </row>
    <row r="419" customFormat="false" ht="15" hidden="false" customHeight="false" outlineLevel="0" collapsed="false">
      <c r="A419" s="8" t="n">
        <v>22</v>
      </c>
      <c r="B419" s="39" t="n">
        <f aca="false">EDATE(StartDate,A419-1)</f>
        <v>47027</v>
      </c>
      <c r="C419" s="24" t="str">
        <f aca="false">Monthly!$B$19</f>
        <v>EnergyWave, Inc.</v>
      </c>
      <c r="D419" s="24" t="str">
        <f aca="false">Monthly!$C$19</f>
        <v>Payroll</v>
      </c>
      <c r="E419" s="24" t="str">
        <f aca="false">Monthly!$D$19</f>
        <v>Salary &amp; load</v>
      </c>
      <c r="F419" s="24" t="str">
        <f aca="false">Monthly!$A$19</f>
        <v>Test &amp; Instrumentation Engineer 2</v>
      </c>
      <c r="G419" s="20" t="n">
        <f aca="false">Monthly!AA$19</f>
        <v>13725</v>
      </c>
      <c r="H419" s="24" t="str">
        <f aca="false">ScenarioName</f>
        <v>Base</v>
      </c>
    </row>
    <row r="420" customFormat="false" ht="15" hidden="false" customHeight="false" outlineLevel="0" collapsed="false">
      <c r="A420" s="8" t="n">
        <v>23</v>
      </c>
      <c r="B420" s="39" t="n">
        <f aca="false">EDATE(StartDate,A420-1)</f>
        <v>47058</v>
      </c>
      <c r="C420" s="24" t="str">
        <f aca="false">Monthly!$B$19</f>
        <v>EnergyWave, Inc.</v>
      </c>
      <c r="D420" s="24" t="str">
        <f aca="false">Monthly!$C$19</f>
        <v>Payroll</v>
      </c>
      <c r="E420" s="24" t="str">
        <f aca="false">Monthly!$D$19</f>
        <v>Salary &amp; load</v>
      </c>
      <c r="F420" s="24" t="str">
        <f aca="false">Monthly!$A$19</f>
        <v>Test &amp; Instrumentation Engineer 2</v>
      </c>
      <c r="G420" s="20" t="n">
        <f aca="false">Monthly!AB$19</f>
        <v>13725</v>
      </c>
      <c r="H420" s="24" t="str">
        <f aca="false">ScenarioName</f>
        <v>Base</v>
      </c>
    </row>
    <row r="421" customFormat="false" ht="15" hidden="false" customHeight="false" outlineLevel="0" collapsed="false">
      <c r="A421" s="8" t="n">
        <v>24</v>
      </c>
      <c r="B421" s="39" t="n">
        <f aca="false">EDATE(StartDate,A421-1)</f>
        <v>47088</v>
      </c>
      <c r="C421" s="24" t="str">
        <f aca="false">Monthly!$B$19</f>
        <v>EnergyWave, Inc.</v>
      </c>
      <c r="D421" s="24" t="str">
        <f aca="false">Monthly!$C$19</f>
        <v>Payroll</v>
      </c>
      <c r="E421" s="24" t="str">
        <f aca="false">Monthly!$D$19</f>
        <v>Salary &amp; load</v>
      </c>
      <c r="F421" s="24" t="str">
        <f aca="false">Monthly!$A$19</f>
        <v>Test &amp; Instrumentation Engineer 2</v>
      </c>
      <c r="G421" s="20" t="n">
        <f aca="false">Monthly!AC$19</f>
        <v>13725</v>
      </c>
      <c r="H421" s="24" t="str">
        <f aca="false">ScenarioName</f>
        <v>Base</v>
      </c>
    </row>
    <row r="422" customFormat="false" ht="15" hidden="false" customHeight="false" outlineLevel="0" collapsed="false">
      <c r="A422" s="8" t="n">
        <v>25</v>
      </c>
      <c r="B422" s="39" t="n">
        <f aca="false">EDATE(StartDate,A422-1)</f>
        <v>47119</v>
      </c>
      <c r="C422" s="24" t="str">
        <f aca="false">Monthly!$B$19</f>
        <v>EnergyWave, Inc.</v>
      </c>
      <c r="D422" s="24" t="str">
        <f aca="false">Monthly!$C$19</f>
        <v>Payroll</v>
      </c>
      <c r="E422" s="24" t="str">
        <f aca="false">Monthly!$D$19</f>
        <v>Salary &amp; load</v>
      </c>
      <c r="F422" s="24" t="str">
        <f aca="false">Monthly!$A$19</f>
        <v>Test &amp; Instrumentation Engineer 2</v>
      </c>
      <c r="G422" s="20" t="n">
        <f aca="false">Monthly!AD$19</f>
        <v>13725</v>
      </c>
      <c r="H422" s="24" t="str">
        <f aca="false">ScenarioName</f>
        <v>Base</v>
      </c>
    </row>
    <row r="423" customFormat="false" ht="15" hidden="false" customHeight="false" outlineLevel="0" collapsed="false">
      <c r="A423" s="8" t="n">
        <v>26</v>
      </c>
      <c r="B423" s="39" t="n">
        <f aca="false">EDATE(StartDate,A423-1)</f>
        <v>47150</v>
      </c>
      <c r="C423" s="24" t="str">
        <f aca="false">Monthly!$B$19</f>
        <v>EnergyWave, Inc.</v>
      </c>
      <c r="D423" s="24" t="str">
        <f aca="false">Monthly!$C$19</f>
        <v>Payroll</v>
      </c>
      <c r="E423" s="24" t="str">
        <f aca="false">Monthly!$D$19</f>
        <v>Salary &amp; load</v>
      </c>
      <c r="F423" s="24" t="str">
        <f aca="false">Monthly!$A$19</f>
        <v>Test &amp; Instrumentation Engineer 2</v>
      </c>
      <c r="G423" s="20" t="n">
        <f aca="false">Monthly!AE$19</f>
        <v>13725</v>
      </c>
      <c r="H423" s="24" t="str">
        <f aca="false">ScenarioName</f>
        <v>Base</v>
      </c>
    </row>
    <row r="424" customFormat="false" ht="15" hidden="false" customHeight="false" outlineLevel="0" collapsed="false">
      <c r="A424" s="8" t="n">
        <v>27</v>
      </c>
      <c r="B424" s="39" t="n">
        <f aca="false">EDATE(StartDate,A424-1)</f>
        <v>47178</v>
      </c>
      <c r="C424" s="24" t="str">
        <f aca="false">Monthly!$B$19</f>
        <v>EnergyWave, Inc.</v>
      </c>
      <c r="D424" s="24" t="str">
        <f aca="false">Monthly!$C$19</f>
        <v>Payroll</v>
      </c>
      <c r="E424" s="24" t="str">
        <f aca="false">Monthly!$D$19</f>
        <v>Salary &amp; load</v>
      </c>
      <c r="F424" s="24" t="str">
        <f aca="false">Monthly!$A$19</f>
        <v>Test &amp; Instrumentation Engineer 2</v>
      </c>
      <c r="G424" s="20" t="n">
        <f aca="false">Monthly!AF$19</f>
        <v>13725</v>
      </c>
      <c r="H424" s="24" t="str">
        <f aca="false">ScenarioName</f>
        <v>Base</v>
      </c>
    </row>
    <row r="425" customFormat="false" ht="15" hidden="false" customHeight="false" outlineLevel="0" collapsed="false">
      <c r="A425" s="8" t="n">
        <v>28</v>
      </c>
      <c r="B425" s="39" t="n">
        <f aca="false">EDATE(StartDate,A425-1)</f>
        <v>47209</v>
      </c>
      <c r="C425" s="24" t="str">
        <f aca="false">Monthly!$B$19</f>
        <v>EnergyWave, Inc.</v>
      </c>
      <c r="D425" s="24" t="str">
        <f aca="false">Monthly!$C$19</f>
        <v>Payroll</v>
      </c>
      <c r="E425" s="24" t="str">
        <f aca="false">Monthly!$D$19</f>
        <v>Salary &amp; load</v>
      </c>
      <c r="F425" s="24" t="str">
        <f aca="false">Monthly!$A$19</f>
        <v>Test &amp; Instrumentation Engineer 2</v>
      </c>
      <c r="G425" s="20" t="n">
        <f aca="false">Monthly!AG$19</f>
        <v>13725</v>
      </c>
      <c r="H425" s="24" t="str">
        <f aca="false">ScenarioName</f>
        <v>Base</v>
      </c>
    </row>
    <row r="426" customFormat="false" ht="15" hidden="false" customHeight="false" outlineLevel="0" collapsed="false">
      <c r="A426" s="8" t="n">
        <v>29</v>
      </c>
      <c r="B426" s="39" t="n">
        <f aca="false">EDATE(StartDate,A426-1)</f>
        <v>47239</v>
      </c>
      <c r="C426" s="24" t="str">
        <f aca="false">Monthly!$B$19</f>
        <v>EnergyWave, Inc.</v>
      </c>
      <c r="D426" s="24" t="str">
        <f aca="false">Monthly!$C$19</f>
        <v>Payroll</v>
      </c>
      <c r="E426" s="24" t="str">
        <f aca="false">Monthly!$D$19</f>
        <v>Salary &amp; load</v>
      </c>
      <c r="F426" s="24" t="str">
        <f aca="false">Monthly!$A$19</f>
        <v>Test &amp; Instrumentation Engineer 2</v>
      </c>
      <c r="G426" s="20" t="n">
        <f aca="false">Monthly!AH$19</f>
        <v>13725</v>
      </c>
      <c r="H426" s="24" t="str">
        <f aca="false">ScenarioName</f>
        <v>Base</v>
      </c>
    </row>
    <row r="427" customFormat="false" ht="15" hidden="false" customHeight="false" outlineLevel="0" collapsed="false">
      <c r="A427" s="8" t="n">
        <v>30</v>
      </c>
      <c r="B427" s="39" t="n">
        <f aca="false">EDATE(StartDate,A427-1)</f>
        <v>47270</v>
      </c>
      <c r="C427" s="24" t="str">
        <f aca="false">Monthly!$B$19</f>
        <v>EnergyWave, Inc.</v>
      </c>
      <c r="D427" s="24" t="str">
        <f aca="false">Monthly!$C$19</f>
        <v>Payroll</v>
      </c>
      <c r="E427" s="24" t="str">
        <f aca="false">Monthly!$D$19</f>
        <v>Salary &amp; load</v>
      </c>
      <c r="F427" s="24" t="str">
        <f aca="false">Monthly!$A$19</f>
        <v>Test &amp; Instrumentation Engineer 2</v>
      </c>
      <c r="G427" s="20" t="n">
        <f aca="false">Monthly!AI$19</f>
        <v>13725</v>
      </c>
      <c r="H427" s="24" t="str">
        <f aca="false">ScenarioName</f>
        <v>Base</v>
      </c>
    </row>
    <row r="428" customFormat="false" ht="15" hidden="false" customHeight="false" outlineLevel="0" collapsed="false">
      <c r="A428" s="8" t="n">
        <v>31</v>
      </c>
      <c r="B428" s="39" t="n">
        <f aca="false">EDATE(StartDate,A428-1)</f>
        <v>47300</v>
      </c>
      <c r="C428" s="24" t="str">
        <f aca="false">Monthly!$B$19</f>
        <v>EnergyWave, Inc.</v>
      </c>
      <c r="D428" s="24" t="str">
        <f aca="false">Monthly!$C$19</f>
        <v>Payroll</v>
      </c>
      <c r="E428" s="24" t="str">
        <f aca="false">Monthly!$D$19</f>
        <v>Salary &amp; load</v>
      </c>
      <c r="F428" s="24" t="str">
        <f aca="false">Monthly!$A$19</f>
        <v>Test &amp; Instrumentation Engineer 2</v>
      </c>
      <c r="G428" s="20" t="n">
        <f aca="false">Monthly!AJ$19</f>
        <v>13725</v>
      </c>
      <c r="H428" s="24" t="str">
        <f aca="false">ScenarioName</f>
        <v>Base</v>
      </c>
    </row>
    <row r="429" customFormat="false" ht="15" hidden="false" customHeight="false" outlineLevel="0" collapsed="false">
      <c r="A429" s="8" t="n">
        <v>32</v>
      </c>
      <c r="B429" s="39" t="n">
        <f aca="false">EDATE(StartDate,A429-1)</f>
        <v>47331</v>
      </c>
      <c r="C429" s="24" t="str">
        <f aca="false">Monthly!$B$19</f>
        <v>EnergyWave, Inc.</v>
      </c>
      <c r="D429" s="24" t="str">
        <f aca="false">Monthly!$C$19</f>
        <v>Payroll</v>
      </c>
      <c r="E429" s="24" t="str">
        <f aca="false">Monthly!$D$19</f>
        <v>Salary &amp; load</v>
      </c>
      <c r="F429" s="24" t="str">
        <f aca="false">Monthly!$A$19</f>
        <v>Test &amp; Instrumentation Engineer 2</v>
      </c>
      <c r="G429" s="20" t="n">
        <f aca="false">Monthly!AK$19</f>
        <v>13725</v>
      </c>
      <c r="H429" s="24" t="str">
        <f aca="false">ScenarioName</f>
        <v>Base</v>
      </c>
    </row>
    <row r="430" customFormat="false" ht="15" hidden="false" customHeight="false" outlineLevel="0" collapsed="false">
      <c r="A430" s="8" t="n">
        <v>33</v>
      </c>
      <c r="B430" s="39" t="n">
        <f aca="false">EDATE(StartDate,A430-1)</f>
        <v>47362</v>
      </c>
      <c r="C430" s="24" t="str">
        <f aca="false">Monthly!$B$19</f>
        <v>EnergyWave, Inc.</v>
      </c>
      <c r="D430" s="24" t="str">
        <f aca="false">Monthly!$C$19</f>
        <v>Payroll</v>
      </c>
      <c r="E430" s="24" t="str">
        <f aca="false">Monthly!$D$19</f>
        <v>Salary &amp; load</v>
      </c>
      <c r="F430" s="24" t="str">
        <f aca="false">Monthly!$A$19</f>
        <v>Test &amp; Instrumentation Engineer 2</v>
      </c>
      <c r="G430" s="20" t="n">
        <f aca="false">Monthly!AL$19</f>
        <v>13725</v>
      </c>
      <c r="H430" s="24" t="str">
        <f aca="false">ScenarioName</f>
        <v>Base</v>
      </c>
    </row>
    <row r="431" customFormat="false" ht="15" hidden="false" customHeight="false" outlineLevel="0" collapsed="false">
      <c r="A431" s="8" t="n">
        <v>34</v>
      </c>
      <c r="B431" s="39" t="n">
        <f aca="false">EDATE(StartDate,A431-1)</f>
        <v>47392</v>
      </c>
      <c r="C431" s="24" t="str">
        <f aca="false">Monthly!$B$19</f>
        <v>EnergyWave, Inc.</v>
      </c>
      <c r="D431" s="24" t="str">
        <f aca="false">Monthly!$C$19</f>
        <v>Payroll</v>
      </c>
      <c r="E431" s="24" t="str">
        <f aca="false">Monthly!$D$19</f>
        <v>Salary &amp; load</v>
      </c>
      <c r="F431" s="24" t="str">
        <f aca="false">Monthly!$A$19</f>
        <v>Test &amp; Instrumentation Engineer 2</v>
      </c>
      <c r="G431" s="20" t="n">
        <f aca="false">Monthly!AM$19</f>
        <v>13725</v>
      </c>
      <c r="H431" s="24" t="str">
        <f aca="false">ScenarioName</f>
        <v>Base</v>
      </c>
    </row>
    <row r="432" customFormat="false" ht="15" hidden="false" customHeight="false" outlineLevel="0" collapsed="false">
      <c r="A432" s="8" t="n">
        <v>35</v>
      </c>
      <c r="B432" s="39" t="n">
        <f aca="false">EDATE(StartDate,A432-1)</f>
        <v>47423</v>
      </c>
      <c r="C432" s="24" t="str">
        <f aca="false">Monthly!$B$19</f>
        <v>EnergyWave, Inc.</v>
      </c>
      <c r="D432" s="24" t="str">
        <f aca="false">Monthly!$C$19</f>
        <v>Payroll</v>
      </c>
      <c r="E432" s="24" t="str">
        <f aca="false">Monthly!$D$19</f>
        <v>Salary &amp; load</v>
      </c>
      <c r="F432" s="24" t="str">
        <f aca="false">Monthly!$A$19</f>
        <v>Test &amp; Instrumentation Engineer 2</v>
      </c>
      <c r="G432" s="20" t="n">
        <f aca="false">Monthly!AN$19</f>
        <v>13725</v>
      </c>
      <c r="H432" s="24" t="str">
        <f aca="false">ScenarioName</f>
        <v>Base</v>
      </c>
    </row>
    <row r="433" customFormat="false" ht="15" hidden="false" customHeight="false" outlineLevel="0" collapsed="false">
      <c r="A433" s="8" t="n">
        <v>36</v>
      </c>
      <c r="B433" s="39" t="n">
        <f aca="false">EDATE(StartDate,A433-1)</f>
        <v>47453</v>
      </c>
      <c r="C433" s="24" t="str">
        <f aca="false">Monthly!$B$19</f>
        <v>EnergyWave, Inc.</v>
      </c>
      <c r="D433" s="24" t="str">
        <f aca="false">Monthly!$C$19</f>
        <v>Payroll</v>
      </c>
      <c r="E433" s="24" t="str">
        <f aca="false">Monthly!$D$19</f>
        <v>Salary &amp; load</v>
      </c>
      <c r="F433" s="24" t="str">
        <f aca="false">Monthly!$A$19</f>
        <v>Test &amp; Instrumentation Engineer 2</v>
      </c>
      <c r="G433" s="20" t="n">
        <f aca="false">Monthly!AO$19</f>
        <v>13725</v>
      </c>
      <c r="H433" s="24" t="str">
        <f aca="false">ScenarioName</f>
        <v>Base</v>
      </c>
    </row>
    <row r="434" customFormat="false" ht="15" hidden="false" customHeight="false" outlineLevel="0" collapsed="false">
      <c r="A434" s="8" t="n">
        <v>1</v>
      </c>
      <c r="B434" s="39" t="n">
        <f aca="false">EDATE(StartDate,A434-1)</f>
        <v>46388</v>
      </c>
      <c r="C434" s="24" t="str">
        <f aca="false">Monthly!$B$20</f>
        <v>EnergyWave, Inc.</v>
      </c>
      <c r="D434" s="24" t="str">
        <f aca="false">Monthly!$C$20</f>
        <v>Payroll</v>
      </c>
      <c r="E434" s="24" t="str">
        <f aca="false">Monthly!$D$20</f>
        <v>Salary &amp; load</v>
      </c>
      <c r="F434" s="24" t="str">
        <f aca="false">Monthly!$A$20</f>
        <v>Additive Manufacturing Engineer</v>
      </c>
      <c r="G434" s="20" t="n">
        <f aca="false">Monthly!F$20</f>
        <v>0</v>
      </c>
      <c r="H434" s="24" t="str">
        <f aca="false">ScenarioName</f>
        <v>Base</v>
      </c>
    </row>
    <row r="435" customFormat="false" ht="15" hidden="false" customHeight="false" outlineLevel="0" collapsed="false">
      <c r="A435" s="8" t="n">
        <v>2</v>
      </c>
      <c r="B435" s="39" t="n">
        <f aca="false">EDATE(StartDate,A435-1)</f>
        <v>46419</v>
      </c>
      <c r="C435" s="24" t="str">
        <f aca="false">Monthly!$B$20</f>
        <v>EnergyWave, Inc.</v>
      </c>
      <c r="D435" s="24" t="str">
        <f aca="false">Monthly!$C$20</f>
        <v>Payroll</v>
      </c>
      <c r="E435" s="24" t="str">
        <f aca="false">Monthly!$D$20</f>
        <v>Salary &amp; load</v>
      </c>
      <c r="F435" s="24" t="str">
        <f aca="false">Monthly!$A$20</f>
        <v>Additive Manufacturing Engineer</v>
      </c>
      <c r="G435" s="20" t="n">
        <f aca="false">Monthly!G$20</f>
        <v>0</v>
      </c>
      <c r="H435" s="24" t="str">
        <f aca="false">ScenarioName</f>
        <v>Base</v>
      </c>
    </row>
    <row r="436" customFormat="false" ht="15" hidden="false" customHeight="false" outlineLevel="0" collapsed="false">
      <c r="A436" s="8" t="n">
        <v>3</v>
      </c>
      <c r="B436" s="39" t="n">
        <f aca="false">EDATE(StartDate,A436-1)</f>
        <v>46447</v>
      </c>
      <c r="C436" s="24" t="str">
        <f aca="false">Monthly!$B$20</f>
        <v>EnergyWave, Inc.</v>
      </c>
      <c r="D436" s="24" t="str">
        <f aca="false">Monthly!$C$20</f>
        <v>Payroll</v>
      </c>
      <c r="E436" s="24" t="str">
        <f aca="false">Monthly!$D$20</f>
        <v>Salary &amp; load</v>
      </c>
      <c r="F436" s="24" t="str">
        <f aca="false">Monthly!$A$20</f>
        <v>Additive Manufacturing Engineer</v>
      </c>
      <c r="G436" s="20" t="n">
        <f aca="false">Monthly!H$20</f>
        <v>14233.3333333333</v>
      </c>
      <c r="H436" s="24" t="str">
        <f aca="false">ScenarioName</f>
        <v>Base</v>
      </c>
    </row>
    <row r="437" customFormat="false" ht="15" hidden="false" customHeight="false" outlineLevel="0" collapsed="false">
      <c r="A437" s="8" t="n">
        <v>4</v>
      </c>
      <c r="B437" s="39" t="n">
        <f aca="false">EDATE(StartDate,A437-1)</f>
        <v>46478</v>
      </c>
      <c r="C437" s="24" t="str">
        <f aca="false">Monthly!$B$20</f>
        <v>EnergyWave, Inc.</v>
      </c>
      <c r="D437" s="24" t="str">
        <f aca="false">Monthly!$C$20</f>
        <v>Payroll</v>
      </c>
      <c r="E437" s="24" t="str">
        <f aca="false">Monthly!$D$20</f>
        <v>Salary &amp; load</v>
      </c>
      <c r="F437" s="24" t="str">
        <f aca="false">Monthly!$A$20</f>
        <v>Additive Manufacturing Engineer</v>
      </c>
      <c r="G437" s="20" t="n">
        <f aca="false">Monthly!I$20</f>
        <v>14233.3333333333</v>
      </c>
      <c r="H437" s="24" t="str">
        <f aca="false">ScenarioName</f>
        <v>Base</v>
      </c>
    </row>
    <row r="438" customFormat="false" ht="15" hidden="false" customHeight="false" outlineLevel="0" collapsed="false">
      <c r="A438" s="8" t="n">
        <v>5</v>
      </c>
      <c r="B438" s="39" t="n">
        <f aca="false">EDATE(StartDate,A438-1)</f>
        <v>46508</v>
      </c>
      <c r="C438" s="24" t="str">
        <f aca="false">Monthly!$B$20</f>
        <v>EnergyWave, Inc.</v>
      </c>
      <c r="D438" s="24" t="str">
        <f aca="false">Monthly!$C$20</f>
        <v>Payroll</v>
      </c>
      <c r="E438" s="24" t="str">
        <f aca="false">Monthly!$D$20</f>
        <v>Salary &amp; load</v>
      </c>
      <c r="F438" s="24" t="str">
        <f aca="false">Monthly!$A$20</f>
        <v>Additive Manufacturing Engineer</v>
      </c>
      <c r="G438" s="20" t="n">
        <f aca="false">Monthly!J$20</f>
        <v>14233.3333333333</v>
      </c>
      <c r="H438" s="24" t="str">
        <f aca="false">ScenarioName</f>
        <v>Base</v>
      </c>
    </row>
    <row r="439" customFormat="false" ht="15" hidden="false" customHeight="false" outlineLevel="0" collapsed="false">
      <c r="A439" s="8" t="n">
        <v>6</v>
      </c>
      <c r="B439" s="39" t="n">
        <f aca="false">EDATE(StartDate,A439-1)</f>
        <v>46539</v>
      </c>
      <c r="C439" s="24" t="str">
        <f aca="false">Monthly!$B$20</f>
        <v>EnergyWave, Inc.</v>
      </c>
      <c r="D439" s="24" t="str">
        <f aca="false">Monthly!$C$20</f>
        <v>Payroll</v>
      </c>
      <c r="E439" s="24" t="str">
        <f aca="false">Monthly!$D$20</f>
        <v>Salary &amp; load</v>
      </c>
      <c r="F439" s="24" t="str">
        <f aca="false">Monthly!$A$20</f>
        <v>Additive Manufacturing Engineer</v>
      </c>
      <c r="G439" s="20" t="n">
        <f aca="false">Monthly!K$20</f>
        <v>14233.3333333333</v>
      </c>
      <c r="H439" s="24" t="str">
        <f aca="false">ScenarioName</f>
        <v>Base</v>
      </c>
    </row>
    <row r="440" customFormat="false" ht="15" hidden="false" customHeight="false" outlineLevel="0" collapsed="false">
      <c r="A440" s="8" t="n">
        <v>7</v>
      </c>
      <c r="B440" s="39" t="n">
        <f aca="false">EDATE(StartDate,A440-1)</f>
        <v>46569</v>
      </c>
      <c r="C440" s="24" t="str">
        <f aca="false">Monthly!$B$20</f>
        <v>EnergyWave, Inc.</v>
      </c>
      <c r="D440" s="24" t="str">
        <f aca="false">Monthly!$C$20</f>
        <v>Payroll</v>
      </c>
      <c r="E440" s="24" t="str">
        <f aca="false">Monthly!$D$20</f>
        <v>Salary &amp; load</v>
      </c>
      <c r="F440" s="24" t="str">
        <f aca="false">Monthly!$A$20</f>
        <v>Additive Manufacturing Engineer</v>
      </c>
      <c r="G440" s="20" t="n">
        <f aca="false">Monthly!L$20</f>
        <v>14233.3333333333</v>
      </c>
      <c r="H440" s="24" t="str">
        <f aca="false">ScenarioName</f>
        <v>Base</v>
      </c>
    </row>
    <row r="441" customFormat="false" ht="15" hidden="false" customHeight="false" outlineLevel="0" collapsed="false">
      <c r="A441" s="8" t="n">
        <v>8</v>
      </c>
      <c r="B441" s="39" t="n">
        <f aca="false">EDATE(StartDate,A441-1)</f>
        <v>46600</v>
      </c>
      <c r="C441" s="24" t="str">
        <f aca="false">Monthly!$B$20</f>
        <v>EnergyWave, Inc.</v>
      </c>
      <c r="D441" s="24" t="str">
        <f aca="false">Monthly!$C$20</f>
        <v>Payroll</v>
      </c>
      <c r="E441" s="24" t="str">
        <f aca="false">Monthly!$D$20</f>
        <v>Salary &amp; load</v>
      </c>
      <c r="F441" s="24" t="str">
        <f aca="false">Monthly!$A$20</f>
        <v>Additive Manufacturing Engineer</v>
      </c>
      <c r="G441" s="20" t="n">
        <f aca="false">Monthly!M$20</f>
        <v>14233.3333333333</v>
      </c>
      <c r="H441" s="24" t="str">
        <f aca="false">ScenarioName</f>
        <v>Base</v>
      </c>
    </row>
    <row r="442" customFormat="false" ht="15" hidden="false" customHeight="false" outlineLevel="0" collapsed="false">
      <c r="A442" s="8" t="n">
        <v>9</v>
      </c>
      <c r="B442" s="39" t="n">
        <f aca="false">EDATE(StartDate,A442-1)</f>
        <v>46631</v>
      </c>
      <c r="C442" s="24" t="str">
        <f aca="false">Monthly!$B$20</f>
        <v>EnergyWave, Inc.</v>
      </c>
      <c r="D442" s="24" t="str">
        <f aca="false">Monthly!$C$20</f>
        <v>Payroll</v>
      </c>
      <c r="E442" s="24" t="str">
        <f aca="false">Monthly!$D$20</f>
        <v>Salary &amp; load</v>
      </c>
      <c r="F442" s="24" t="str">
        <f aca="false">Monthly!$A$20</f>
        <v>Additive Manufacturing Engineer</v>
      </c>
      <c r="G442" s="20" t="n">
        <f aca="false">Monthly!N$20</f>
        <v>14233.3333333333</v>
      </c>
      <c r="H442" s="24" t="str">
        <f aca="false">ScenarioName</f>
        <v>Base</v>
      </c>
    </row>
    <row r="443" customFormat="false" ht="15" hidden="false" customHeight="false" outlineLevel="0" collapsed="false">
      <c r="A443" s="8" t="n">
        <v>10</v>
      </c>
      <c r="B443" s="39" t="n">
        <f aca="false">EDATE(StartDate,A443-1)</f>
        <v>46661</v>
      </c>
      <c r="C443" s="24" t="str">
        <f aca="false">Monthly!$B$20</f>
        <v>EnergyWave, Inc.</v>
      </c>
      <c r="D443" s="24" t="str">
        <f aca="false">Monthly!$C$20</f>
        <v>Payroll</v>
      </c>
      <c r="E443" s="24" t="str">
        <f aca="false">Monthly!$D$20</f>
        <v>Salary &amp; load</v>
      </c>
      <c r="F443" s="24" t="str">
        <f aca="false">Monthly!$A$20</f>
        <v>Additive Manufacturing Engineer</v>
      </c>
      <c r="G443" s="20" t="n">
        <f aca="false">Monthly!O$20</f>
        <v>14233.3333333333</v>
      </c>
      <c r="H443" s="24" t="str">
        <f aca="false">ScenarioName</f>
        <v>Base</v>
      </c>
    </row>
    <row r="444" customFormat="false" ht="15" hidden="false" customHeight="false" outlineLevel="0" collapsed="false">
      <c r="A444" s="8" t="n">
        <v>11</v>
      </c>
      <c r="B444" s="39" t="n">
        <f aca="false">EDATE(StartDate,A444-1)</f>
        <v>46692</v>
      </c>
      <c r="C444" s="24" t="str">
        <f aca="false">Monthly!$B$20</f>
        <v>EnergyWave, Inc.</v>
      </c>
      <c r="D444" s="24" t="str">
        <f aca="false">Monthly!$C$20</f>
        <v>Payroll</v>
      </c>
      <c r="E444" s="24" t="str">
        <f aca="false">Monthly!$D$20</f>
        <v>Salary &amp; load</v>
      </c>
      <c r="F444" s="24" t="str">
        <f aca="false">Monthly!$A$20</f>
        <v>Additive Manufacturing Engineer</v>
      </c>
      <c r="G444" s="20" t="n">
        <f aca="false">Monthly!P$20</f>
        <v>14233.3333333333</v>
      </c>
      <c r="H444" s="24" t="str">
        <f aca="false">ScenarioName</f>
        <v>Base</v>
      </c>
    </row>
    <row r="445" customFormat="false" ht="15" hidden="false" customHeight="false" outlineLevel="0" collapsed="false">
      <c r="A445" s="8" t="n">
        <v>12</v>
      </c>
      <c r="B445" s="39" t="n">
        <f aca="false">EDATE(StartDate,A445-1)</f>
        <v>46722</v>
      </c>
      <c r="C445" s="24" t="str">
        <f aca="false">Monthly!$B$20</f>
        <v>EnergyWave, Inc.</v>
      </c>
      <c r="D445" s="24" t="str">
        <f aca="false">Monthly!$C$20</f>
        <v>Payroll</v>
      </c>
      <c r="E445" s="24" t="str">
        <f aca="false">Monthly!$D$20</f>
        <v>Salary &amp; load</v>
      </c>
      <c r="F445" s="24" t="str">
        <f aca="false">Monthly!$A$20</f>
        <v>Additive Manufacturing Engineer</v>
      </c>
      <c r="G445" s="20" t="n">
        <f aca="false">Monthly!Q$20</f>
        <v>14233.3333333333</v>
      </c>
      <c r="H445" s="24" t="str">
        <f aca="false">ScenarioName</f>
        <v>Base</v>
      </c>
    </row>
    <row r="446" customFormat="false" ht="15" hidden="false" customHeight="false" outlineLevel="0" collapsed="false">
      <c r="A446" s="8" t="n">
        <v>13</v>
      </c>
      <c r="B446" s="39" t="n">
        <f aca="false">EDATE(StartDate,A446-1)</f>
        <v>46753</v>
      </c>
      <c r="C446" s="24" t="str">
        <f aca="false">Monthly!$B$20</f>
        <v>EnergyWave, Inc.</v>
      </c>
      <c r="D446" s="24" t="str">
        <f aca="false">Monthly!$C$20</f>
        <v>Payroll</v>
      </c>
      <c r="E446" s="24" t="str">
        <f aca="false">Monthly!$D$20</f>
        <v>Salary &amp; load</v>
      </c>
      <c r="F446" s="24" t="str">
        <f aca="false">Monthly!$A$20</f>
        <v>Additive Manufacturing Engineer</v>
      </c>
      <c r="G446" s="20" t="n">
        <f aca="false">Monthly!R$20</f>
        <v>14233.3333333333</v>
      </c>
      <c r="H446" s="24" t="str">
        <f aca="false">ScenarioName</f>
        <v>Base</v>
      </c>
    </row>
    <row r="447" customFormat="false" ht="15" hidden="false" customHeight="false" outlineLevel="0" collapsed="false">
      <c r="A447" s="8" t="n">
        <v>14</v>
      </c>
      <c r="B447" s="39" t="n">
        <f aca="false">EDATE(StartDate,A447-1)</f>
        <v>46784</v>
      </c>
      <c r="C447" s="24" t="str">
        <f aca="false">Monthly!$B$20</f>
        <v>EnergyWave, Inc.</v>
      </c>
      <c r="D447" s="24" t="str">
        <f aca="false">Monthly!$C$20</f>
        <v>Payroll</v>
      </c>
      <c r="E447" s="24" t="str">
        <f aca="false">Monthly!$D$20</f>
        <v>Salary &amp; load</v>
      </c>
      <c r="F447" s="24" t="str">
        <f aca="false">Monthly!$A$20</f>
        <v>Additive Manufacturing Engineer</v>
      </c>
      <c r="G447" s="20" t="n">
        <f aca="false">Monthly!S$20</f>
        <v>14233.3333333333</v>
      </c>
      <c r="H447" s="24" t="str">
        <f aca="false">ScenarioName</f>
        <v>Base</v>
      </c>
    </row>
    <row r="448" customFormat="false" ht="15" hidden="false" customHeight="false" outlineLevel="0" collapsed="false">
      <c r="A448" s="8" t="n">
        <v>15</v>
      </c>
      <c r="B448" s="39" t="n">
        <f aca="false">EDATE(StartDate,A448-1)</f>
        <v>46813</v>
      </c>
      <c r="C448" s="24" t="str">
        <f aca="false">Monthly!$B$20</f>
        <v>EnergyWave, Inc.</v>
      </c>
      <c r="D448" s="24" t="str">
        <f aca="false">Monthly!$C$20</f>
        <v>Payroll</v>
      </c>
      <c r="E448" s="24" t="str">
        <f aca="false">Monthly!$D$20</f>
        <v>Salary &amp; load</v>
      </c>
      <c r="F448" s="24" t="str">
        <f aca="false">Monthly!$A$20</f>
        <v>Additive Manufacturing Engineer</v>
      </c>
      <c r="G448" s="20" t="n">
        <f aca="false">Monthly!T$20</f>
        <v>14233.3333333333</v>
      </c>
      <c r="H448" s="24" t="str">
        <f aca="false">ScenarioName</f>
        <v>Base</v>
      </c>
    </row>
    <row r="449" customFormat="false" ht="15" hidden="false" customHeight="false" outlineLevel="0" collapsed="false">
      <c r="A449" s="8" t="n">
        <v>16</v>
      </c>
      <c r="B449" s="39" t="n">
        <f aca="false">EDATE(StartDate,A449-1)</f>
        <v>46844</v>
      </c>
      <c r="C449" s="24" t="str">
        <f aca="false">Monthly!$B$20</f>
        <v>EnergyWave, Inc.</v>
      </c>
      <c r="D449" s="24" t="str">
        <f aca="false">Monthly!$C$20</f>
        <v>Payroll</v>
      </c>
      <c r="E449" s="24" t="str">
        <f aca="false">Monthly!$D$20</f>
        <v>Salary &amp; load</v>
      </c>
      <c r="F449" s="24" t="str">
        <f aca="false">Monthly!$A$20</f>
        <v>Additive Manufacturing Engineer</v>
      </c>
      <c r="G449" s="20" t="n">
        <f aca="false">Monthly!U$20</f>
        <v>14233.3333333333</v>
      </c>
      <c r="H449" s="24" t="str">
        <f aca="false">ScenarioName</f>
        <v>Base</v>
      </c>
    </row>
    <row r="450" customFormat="false" ht="15" hidden="false" customHeight="false" outlineLevel="0" collapsed="false">
      <c r="A450" s="8" t="n">
        <v>17</v>
      </c>
      <c r="B450" s="39" t="n">
        <f aca="false">EDATE(StartDate,A450-1)</f>
        <v>46874</v>
      </c>
      <c r="C450" s="24" t="str">
        <f aca="false">Monthly!$B$20</f>
        <v>EnergyWave, Inc.</v>
      </c>
      <c r="D450" s="24" t="str">
        <f aca="false">Monthly!$C$20</f>
        <v>Payroll</v>
      </c>
      <c r="E450" s="24" t="str">
        <f aca="false">Monthly!$D$20</f>
        <v>Salary &amp; load</v>
      </c>
      <c r="F450" s="24" t="str">
        <f aca="false">Monthly!$A$20</f>
        <v>Additive Manufacturing Engineer</v>
      </c>
      <c r="G450" s="20" t="n">
        <f aca="false">Monthly!V$20</f>
        <v>14233.3333333333</v>
      </c>
      <c r="H450" s="24" t="str">
        <f aca="false">ScenarioName</f>
        <v>Base</v>
      </c>
    </row>
    <row r="451" customFormat="false" ht="15" hidden="false" customHeight="false" outlineLevel="0" collapsed="false">
      <c r="A451" s="8" t="n">
        <v>18</v>
      </c>
      <c r="B451" s="39" t="n">
        <f aca="false">EDATE(StartDate,A451-1)</f>
        <v>46905</v>
      </c>
      <c r="C451" s="24" t="str">
        <f aca="false">Monthly!$B$20</f>
        <v>EnergyWave, Inc.</v>
      </c>
      <c r="D451" s="24" t="str">
        <f aca="false">Monthly!$C$20</f>
        <v>Payroll</v>
      </c>
      <c r="E451" s="24" t="str">
        <f aca="false">Monthly!$D$20</f>
        <v>Salary &amp; load</v>
      </c>
      <c r="F451" s="24" t="str">
        <f aca="false">Monthly!$A$20</f>
        <v>Additive Manufacturing Engineer</v>
      </c>
      <c r="G451" s="20" t="n">
        <f aca="false">Monthly!W$20</f>
        <v>14233.3333333333</v>
      </c>
      <c r="H451" s="24" t="str">
        <f aca="false">ScenarioName</f>
        <v>Base</v>
      </c>
    </row>
    <row r="452" customFormat="false" ht="15" hidden="false" customHeight="false" outlineLevel="0" collapsed="false">
      <c r="A452" s="8" t="n">
        <v>19</v>
      </c>
      <c r="B452" s="39" t="n">
        <f aca="false">EDATE(StartDate,A452-1)</f>
        <v>46935</v>
      </c>
      <c r="C452" s="24" t="str">
        <f aca="false">Monthly!$B$20</f>
        <v>EnergyWave, Inc.</v>
      </c>
      <c r="D452" s="24" t="str">
        <f aca="false">Monthly!$C$20</f>
        <v>Payroll</v>
      </c>
      <c r="E452" s="24" t="str">
        <f aca="false">Monthly!$D$20</f>
        <v>Salary &amp; load</v>
      </c>
      <c r="F452" s="24" t="str">
        <f aca="false">Monthly!$A$20</f>
        <v>Additive Manufacturing Engineer</v>
      </c>
      <c r="G452" s="20" t="n">
        <f aca="false">Monthly!X$20</f>
        <v>14233.3333333333</v>
      </c>
      <c r="H452" s="24" t="str">
        <f aca="false">ScenarioName</f>
        <v>Base</v>
      </c>
    </row>
    <row r="453" customFormat="false" ht="15" hidden="false" customHeight="false" outlineLevel="0" collapsed="false">
      <c r="A453" s="8" t="n">
        <v>20</v>
      </c>
      <c r="B453" s="39" t="n">
        <f aca="false">EDATE(StartDate,A453-1)</f>
        <v>46966</v>
      </c>
      <c r="C453" s="24" t="str">
        <f aca="false">Monthly!$B$20</f>
        <v>EnergyWave, Inc.</v>
      </c>
      <c r="D453" s="24" t="str">
        <f aca="false">Monthly!$C$20</f>
        <v>Payroll</v>
      </c>
      <c r="E453" s="24" t="str">
        <f aca="false">Monthly!$D$20</f>
        <v>Salary &amp; load</v>
      </c>
      <c r="F453" s="24" t="str">
        <f aca="false">Monthly!$A$20</f>
        <v>Additive Manufacturing Engineer</v>
      </c>
      <c r="G453" s="20" t="n">
        <f aca="false">Monthly!Y$20</f>
        <v>14233.3333333333</v>
      </c>
      <c r="H453" s="24" t="str">
        <f aca="false">ScenarioName</f>
        <v>Base</v>
      </c>
    </row>
    <row r="454" customFormat="false" ht="15" hidden="false" customHeight="false" outlineLevel="0" collapsed="false">
      <c r="A454" s="8" t="n">
        <v>21</v>
      </c>
      <c r="B454" s="39" t="n">
        <f aca="false">EDATE(StartDate,A454-1)</f>
        <v>46997</v>
      </c>
      <c r="C454" s="24" t="str">
        <f aca="false">Monthly!$B$20</f>
        <v>EnergyWave, Inc.</v>
      </c>
      <c r="D454" s="24" t="str">
        <f aca="false">Monthly!$C$20</f>
        <v>Payroll</v>
      </c>
      <c r="E454" s="24" t="str">
        <f aca="false">Monthly!$D$20</f>
        <v>Salary &amp; load</v>
      </c>
      <c r="F454" s="24" t="str">
        <f aca="false">Monthly!$A$20</f>
        <v>Additive Manufacturing Engineer</v>
      </c>
      <c r="G454" s="20" t="n">
        <f aca="false">Monthly!Z$20</f>
        <v>14233.3333333333</v>
      </c>
      <c r="H454" s="24" t="str">
        <f aca="false">ScenarioName</f>
        <v>Base</v>
      </c>
    </row>
    <row r="455" customFormat="false" ht="15" hidden="false" customHeight="false" outlineLevel="0" collapsed="false">
      <c r="A455" s="8" t="n">
        <v>22</v>
      </c>
      <c r="B455" s="39" t="n">
        <f aca="false">EDATE(StartDate,A455-1)</f>
        <v>47027</v>
      </c>
      <c r="C455" s="24" t="str">
        <f aca="false">Monthly!$B$20</f>
        <v>EnergyWave, Inc.</v>
      </c>
      <c r="D455" s="24" t="str">
        <f aca="false">Monthly!$C$20</f>
        <v>Payroll</v>
      </c>
      <c r="E455" s="24" t="str">
        <f aca="false">Monthly!$D$20</f>
        <v>Salary &amp; load</v>
      </c>
      <c r="F455" s="24" t="str">
        <f aca="false">Monthly!$A$20</f>
        <v>Additive Manufacturing Engineer</v>
      </c>
      <c r="G455" s="20" t="n">
        <f aca="false">Monthly!AA$20</f>
        <v>14233.3333333333</v>
      </c>
      <c r="H455" s="24" t="str">
        <f aca="false">ScenarioName</f>
        <v>Base</v>
      </c>
    </row>
    <row r="456" customFormat="false" ht="15" hidden="false" customHeight="false" outlineLevel="0" collapsed="false">
      <c r="A456" s="8" t="n">
        <v>23</v>
      </c>
      <c r="B456" s="39" t="n">
        <f aca="false">EDATE(StartDate,A456-1)</f>
        <v>47058</v>
      </c>
      <c r="C456" s="24" t="str">
        <f aca="false">Monthly!$B$20</f>
        <v>EnergyWave, Inc.</v>
      </c>
      <c r="D456" s="24" t="str">
        <f aca="false">Monthly!$C$20</f>
        <v>Payroll</v>
      </c>
      <c r="E456" s="24" t="str">
        <f aca="false">Monthly!$D$20</f>
        <v>Salary &amp; load</v>
      </c>
      <c r="F456" s="24" t="str">
        <f aca="false">Monthly!$A$20</f>
        <v>Additive Manufacturing Engineer</v>
      </c>
      <c r="G456" s="20" t="n">
        <f aca="false">Monthly!AB$20</f>
        <v>14233.3333333333</v>
      </c>
      <c r="H456" s="24" t="str">
        <f aca="false">ScenarioName</f>
        <v>Base</v>
      </c>
    </row>
    <row r="457" customFormat="false" ht="15" hidden="false" customHeight="false" outlineLevel="0" collapsed="false">
      <c r="A457" s="8" t="n">
        <v>24</v>
      </c>
      <c r="B457" s="39" t="n">
        <f aca="false">EDATE(StartDate,A457-1)</f>
        <v>47088</v>
      </c>
      <c r="C457" s="24" t="str">
        <f aca="false">Monthly!$B$20</f>
        <v>EnergyWave, Inc.</v>
      </c>
      <c r="D457" s="24" t="str">
        <f aca="false">Monthly!$C$20</f>
        <v>Payroll</v>
      </c>
      <c r="E457" s="24" t="str">
        <f aca="false">Monthly!$D$20</f>
        <v>Salary &amp; load</v>
      </c>
      <c r="F457" s="24" t="str">
        <f aca="false">Monthly!$A$20</f>
        <v>Additive Manufacturing Engineer</v>
      </c>
      <c r="G457" s="20" t="n">
        <f aca="false">Monthly!AC$20</f>
        <v>14233.3333333333</v>
      </c>
      <c r="H457" s="24" t="str">
        <f aca="false">ScenarioName</f>
        <v>Base</v>
      </c>
    </row>
    <row r="458" customFormat="false" ht="15" hidden="false" customHeight="false" outlineLevel="0" collapsed="false">
      <c r="A458" s="8" t="n">
        <v>25</v>
      </c>
      <c r="B458" s="39" t="n">
        <f aca="false">EDATE(StartDate,A458-1)</f>
        <v>47119</v>
      </c>
      <c r="C458" s="24" t="str">
        <f aca="false">Monthly!$B$20</f>
        <v>EnergyWave, Inc.</v>
      </c>
      <c r="D458" s="24" t="str">
        <f aca="false">Monthly!$C$20</f>
        <v>Payroll</v>
      </c>
      <c r="E458" s="24" t="str">
        <f aca="false">Monthly!$D$20</f>
        <v>Salary &amp; load</v>
      </c>
      <c r="F458" s="24" t="str">
        <f aca="false">Monthly!$A$20</f>
        <v>Additive Manufacturing Engineer</v>
      </c>
      <c r="G458" s="20" t="n">
        <f aca="false">Monthly!AD$20</f>
        <v>14233.3333333333</v>
      </c>
      <c r="H458" s="24" t="str">
        <f aca="false">ScenarioName</f>
        <v>Base</v>
      </c>
    </row>
    <row r="459" customFormat="false" ht="15" hidden="false" customHeight="false" outlineLevel="0" collapsed="false">
      <c r="A459" s="8" t="n">
        <v>26</v>
      </c>
      <c r="B459" s="39" t="n">
        <f aca="false">EDATE(StartDate,A459-1)</f>
        <v>47150</v>
      </c>
      <c r="C459" s="24" t="str">
        <f aca="false">Monthly!$B$20</f>
        <v>EnergyWave, Inc.</v>
      </c>
      <c r="D459" s="24" t="str">
        <f aca="false">Monthly!$C$20</f>
        <v>Payroll</v>
      </c>
      <c r="E459" s="24" t="str">
        <f aca="false">Monthly!$D$20</f>
        <v>Salary &amp; load</v>
      </c>
      <c r="F459" s="24" t="str">
        <f aca="false">Monthly!$A$20</f>
        <v>Additive Manufacturing Engineer</v>
      </c>
      <c r="G459" s="20" t="n">
        <f aca="false">Monthly!AE$20</f>
        <v>14233.3333333333</v>
      </c>
      <c r="H459" s="24" t="str">
        <f aca="false">ScenarioName</f>
        <v>Base</v>
      </c>
    </row>
    <row r="460" customFormat="false" ht="15" hidden="false" customHeight="false" outlineLevel="0" collapsed="false">
      <c r="A460" s="8" t="n">
        <v>27</v>
      </c>
      <c r="B460" s="39" t="n">
        <f aca="false">EDATE(StartDate,A460-1)</f>
        <v>47178</v>
      </c>
      <c r="C460" s="24" t="str">
        <f aca="false">Monthly!$B$20</f>
        <v>EnergyWave, Inc.</v>
      </c>
      <c r="D460" s="24" t="str">
        <f aca="false">Monthly!$C$20</f>
        <v>Payroll</v>
      </c>
      <c r="E460" s="24" t="str">
        <f aca="false">Monthly!$D$20</f>
        <v>Salary &amp; load</v>
      </c>
      <c r="F460" s="24" t="str">
        <f aca="false">Monthly!$A$20</f>
        <v>Additive Manufacturing Engineer</v>
      </c>
      <c r="G460" s="20" t="n">
        <f aca="false">Monthly!AF$20</f>
        <v>14233.3333333333</v>
      </c>
      <c r="H460" s="24" t="str">
        <f aca="false">ScenarioName</f>
        <v>Base</v>
      </c>
    </row>
    <row r="461" customFormat="false" ht="15" hidden="false" customHeight="false" outlineLevel="0" collapsed="false">
      <c r="A461" s="8" t="n">
        <v>28</v>
      </c>
      <c r="B461" s="39" t="n">
        <f aca="false">EDATE(StartDate,A461-1)</f>
        <v>47209</v>
      </c>
      <c r="C461" s="24" t="str">
        <f aca="false">Monthly!$B$20</f>
        <v>EnergyWave, Inc.</v>
      </c>
      <c r="D461" s="24" t="str">
        <f aca="false">Monthly!$C$20</f>
        <v>Payroll</v>
      </c>
      <c r="E461" s="24" t="str">
        <f aca="false">Monthly!$D$20</f>
        <v>Salary &amp; load</v>
      </c>
      <c r="F461" s="24" t="str">
        <f aca="false">Monthly!$A$20</f>
        <v>Additive Manufacturing Engineer</v>
      </c>
      <c r="G461" s="20" t="n">
        <f aca="false">Monthly!AG$20</f>
        <v>14233.3333333333</v>
      </c>
      <c r="H461" s="24" t="str">
        <f aca="false">ScenarioName</f>
        <v>Base</v>
      </c>
    </row>
    <row r="462" customFormat="false" ht="15" hidden="false" customHeight="false" outlineLevel="0" collapsed="false">
      <c r="A462" s="8" t="n">
        <v>29</v>
      </c>
      <c r="B462" s="39" t="n">
        <f aca="false">EDATE(StartDate,A462-1)</f>
        <v>47239</v>
      </c>
      <c r="C462" s="24" t="str">
        <f aca="false">Monthly!$B$20</f>
        <v>EnergyWave, Inc.</v>
      </c>
      <c r="D462" s="24" t="str">
        <f aca="false">Monthly!$C$20</f>
        <v>Payroll</v>
      </c>
      <c r="E462" s="24" t="str">
        <f aca="false">Monthly!$D$20</f>
        <v>Salary &amp; load</v>
      </c>
      <c r="F462" s="24" t="str">
        <f aca="false">Monthly!$A$20</f>
        <v>Additive Manufacturing Engineer</v>
      </c>
      <c r="G462" s="20" t="n">
        <f aca="false">Monthly!AH$20</f>
        <v>14233.3333333333</v>
      </c>
      <c r="H462" s="24" t="str">
        <f aca="false">ScenarioName</f>
        <v>Base</v>
      </c>
    </row>
    <row r="463" customFormat="false" ht="15" hidden="false" customHeight="false" outlineLevel="0" collapsed="false">
      <c r="A463" s="8" t="n">
        <v>30</v>
      </c>
      <c r="B463" s="39" t="n">
        <f aca="false">EDATE(StartDate,A463-1)</f>
        <v>47270</v>
      </c>
      <c r="C463" s="24" t="str">
        <f aca="false">Monthly!$B$20</f>
        <v>EnergyWave, Inc.</v>
      </c>
      <c r="D463" s="24" t="str">
        <f aca="false">Monthly!$C$20</f>
        <v>Payroll</v>
      </c>
      <c r="E463" s="24" t="str">
        <f aca="false">Monthly!$D$20</f>
        <v>Salary &amp; load</v>
      </c>
      <c r="F463" s="24" t="str">
        <f aca="false">Monthly!$A$20</f>
        <v>Additive Manufacturing Engineer</v>
      </c>
      <c r="G463" s="20" t="n">
        <f aca="false">Monthly!AI$20</f>
        <v>14233.3333333333</v>
      </c>
      <c r="H463" s="24" t="str">
        <f aca="false">ScenarioName</f>
        <v>Base</v>
      </c>
    </row>
    <row r="464" customFormat="false" ht="15" hidden="false" customHeight="false" outlineLevel="0" collapsed="false">
      <c r="A464" s="8" t="n">
        <v>31</v>
      </c>
      <c r="B464" s="39" t="n">
        <f aca="false">EDATE(StartDate,A464-1)</f>
        <v>47300</v>
      </c>
      <c r="C464" s="24" t="str">
        <f aca="false">Monthly!$B$20</f>
        <v>EnergyWave, Inc.</v>
      </c>
      <c r="D464" s="24" t="str">
        <f aca="false">Monthly!$C$20</f>
        <v>Payroll</v>
      </c>
      <c r="E464" s="24" t="str">
        <f aca="false">Monthly!$D$20</f>
        <v>Salary &amp; load</v>
      </c>
      <c r="F464" s="24" t="str">
        <f aca="false">Monthly!$A$20</f>
        <v>Additive Manufacturing Engineer</v>
      </c>
      <c r="G464" s="20" t="n">
        <f aca="false">Monthly!AJ$20</f>
        <v>14233.3333333333</v>
      </c>
      <c r="H464" s="24" t="str">
        <f aca="false">ScenarioName</f>
        <v>Base</v>
      </c>
    </row>
    <row r="465" customFormat="false" ht="15" hidden="false" customHeight="false" outlineLevel="0" collapsed="false">
      <c r="A465" s="8" t="n">
        <v>32</v>
      </c>
      <c r="B465" s="39" t="n">
        <f aca="false">EDATE(StartDate,A465-1)</f>
        <v>47331</v>
      </c>
      <c r="C465" s="24" t="str">
        <f aca="false">Monthly!$B$20</f>
        <v>EnergyWave, Inc.</v>
      </c>
      <c r="D465" s="24" t="str">
        <f aca="false">Monthly!$C$20</f>
        <v>Payroll</v>
      </c>
      <c r="E465" s="24" t="str">
        <f aca="false">Monthly!$D$20</f>
        <v>Salary &amp; load</v>
      </c>
      <c r="F465" s="24" t="str">
        <f aca="false">Monthly!$A$20</f>
        <v>Additive Manufacturing Engineer</v>
      </c>
      <c r="G465" s="20" t="n">
        <f aca="false">Monthly!AK$20</f>
        <v>14233.3333333333</v>
      </c>
      <c r="H465" s="24" t="str">
        <f aca="false">ScenarioName</f>
        <v>Base</v>
      </c>
    </row>
    <row r="466" customFormat="false" ht="15" hidden="false" customHeight="false" outlineLevel="0" collapsed="false">
      <c r="A466" s="8" t="n">
        <v>33</v>
      </c>
      <c r="B466" s="39" t="n">
        <f aca="false">EDATE(StartDate,A466-1)</f>
        <v>47362</v>
      </c>
      <c r="C466" s="24" t="str">
        <f aca="false">Monthly!$B$20</f>
        <v>EnergyWave, Inc.</v>
      </c>
      <c r="D466" s="24" t="str">
        <f aca="false">Monthly!$C$20</f>
        <v>Payroll</v>
      </c>
      <c r="E466" s="24" t="str">
        <f aca="false">Monthly!$D$20</f>
        <v>Salary &amp; load</v>
      </c>
      <c r="F466" s="24" t="str">
        <f aca="false">Monthly!$A$20</f>
        <v>Additive Manufacturing Engineer</v>
      </c>
      <c r="G466" s="20" t="n">
        <f aca="false">Monthly!AL$20</f>
        <v>14233.3333333333</v>
      </c>
      <c r="H466" s="24" t="str">
        <f aca="false">ScenarioName</f>
        <v>Base</v>
      </c>
    </row>
    <row r="467" customFormat="false" ht="15" hidden="false" customHeight="false" outlineLevel="0" collapsed="false">
      <c r="A467" s="8" t="n">
        <v>34</v>
      </c>
      <c r="B467" s="39" t="n">
        <f aca="false">EDATE(StartDate,A467-1)</f>
        <v>47392</v>
      </c>
      <c r="C467" s="24" t="str">
        <f aca="false">Monthly!$B$20</f>
        <v>EnergyWave, Inc.</v>
      </c>
      <c r="D467" s="24" t="str">
        <f aca="false">Monthly!$C$20</f>
        <v>Payroll</v>
      </c>
      <c r="E467" s="24" t="str">
        <f aca="false">Monthly!$D$20</f>
        <v>Salary &amp; load</v>
      </c>
      <c r="F467" s="24" t="str">
        <f aca="false">Monthly!$A$20</f>
        <v>Additive Manufacturing Engineer</v>
      </c>
      <c r="G467" s="20" t="n">
        <f aca="false">Monthly!AM$20</f>
        <v>14233.3333333333</v>
      </c>
      <c r="H467" s="24" t="str">
        <f aca="false">ScenarioName</f>
        <v>Base</v>
      </c>
    </row>
    <row r="468" customFormat="false" ht="15" hidden="false" customHeight="false" outlineLevel="0" collapsed="false">
      <c r="A468" s="8" t="n">
        <v>35</v>
      </c>
      <c r="B468" s="39" t="n">
        <f aca="false">EDATE(StartDate,A468-1)</f>
        <v>47423</v>
      </c>
      <c r="C468" s="24" t="str">
        <f aca="false">Monthly!$B$20</f>
        <v>EnergyWave, Inc.</v>
      </c>
      <c r="D468" s="24" t="str">
        <f aca="false">Monthly!$C$20</f>
        <v>Payroll</v>
      </c>
      <c r="E468" s="24" t="str">
        <f aca="false">Monthly!$D$20</f>
        <v>Salary &amp; load</v>
      </c>
      <c r="F468" s="24" t="str">
        <f aca="false">Monthly!$A$20</f>
        <v>Additive Manufacturing Engineer</v>
      </c>
      <c r="G468" s="20" t="n">
        <f aca="false">Monthly!AN$20</f>
        <v>14233.3333333333</v>
      </c>
      <c r="H468" s="24" t="str">
        <f aca="false">ScenarioName</f>
        <v>Base</v>
      </c>
    </row>
    <row r="469" customFormat="false" ht="15" hidden="false" customHeight="false" outlineLevel="0" collapsed="false">
      <c r="A469" s="8" t="n">
        <v>36</v>
      </c>
      <c r="B469" s="39" t="n">
        <f aca="false">EDATE(StartDate,A469-1)</f>
        <v>47453</v>
      </c>
      <c r="C469" s="24" t="str">
        <f aca="false">Monthly!$B$20</f>
        <v>EnergyWave, Inc.</v>
      </c>
      <c r="D469" s="24" t="str">
        <f aca="false">Monthly!$C$20</f>
        <v>Payroll</v>
      </c>
      <c r="E469" s="24" t="str">
        <f aca="false">Monthly!$D$20</f>
        <v>Salary &amp; load</v>
      </c>
      <c r="F469" s="24" t="str">
        <f aca="false">Monthly!$A$20</f>
        <v>Additive Manufacturing Engineer</v>
      </c>
      <c r="G469" s="20" t="n">
        <f aca="false">Monthly!AO$20</f>
        <v>14233.3333333333</v>
      </c>
      <c r="H469" s="24" t="str">
        <f aca="false">ScenarioName</f>
        <v>Base</v>
      </c>
    </row>
    <row r="470" customFormat="false" ht="15" hidden="false" customHeight="false" outlineLevel="0" collapsed="false">
      <c r="A470" s="8" t="n">
        <v>1</v>
      </c>
      <c r="B470" s="39" t="n">
        <f aca="false">EDATE(StartDate,A470-1)</f>
        <v>46388</v>
      </c>
      <c r="C470" s="24" t="str">
        <f aca="false">Monthly!$B$21</f>
        <v>EnergyWave, Inc.</v>
      </c>
      <c r="D470" s="24" t="str">
        <f aca="false">Monthly!$C$21</f>
        <v>Payroll</v>
      </c>
      <c r="E470" s="24" t="str">
        <f aca="false">Monthly!$D$21</f>
        <v>Salary &amp; load</v>
      </c>
      <c r="F470" s="24" t="str">
        <f aca="false">Monthly!$A$21</f>
        <v>Software / Algorithms Engineer</v>
      </c>
      <c r="G470" s="20" t="n">
        <f aca="false">Monthly!F$21</f>
        <v>0</v>
      </c>
      <c r="H470" s="24" t="str">
        <f aca="false">ScenarioName</f>
        <v>Base</v>
      </c>
    </row>
    <row r="471" customFormat="false" ht="15" hidden="false" customHeight="false" outlineLevel="0" collapsed="false">
      <c r="A471" s="8" t="n">
        <v>2</v>
      </c>
      <c r="B471" s="39" t="n">
        <f aca="false">EDATE(StartDate,A471-1)</f>
        <v>46419</v>
      </c>
      <c r="C471" s="24" t="str">
        <f aca="false">Monthly!$B$21</f>
        <v>EnergyWave, Inc.</v>
      </c>
      <c r="D471" s="24" t="str">
        <f aca="false">Monthly!$C$21</f>
        <v>Payroll</v>
      </c>
      <c r="E471" s="24" t="str">
        <f aca="false">Monthly!$D$21</f>
        <v>Salary &amp; load</v>
      </c>
      <c r="F471" s="24" t="str">
        <f aca="false">Monthly!$A$21</f>
        <v>Software / Algorithms Engineer</v>
      </c>
      <c r="G471" s="20" t="n">
        <f aca="false">Monthly!G$21</f>
        <v>0</v>
      </c>
      <c r="H471" s="24" t="str">
        <f aca="false">ScenarioName</f>
        <v>Base</v>
      </c>
    </row>
    <row r="472" customFormat="false" ht="15" hidden="false" customHeight="false" outlineLevel="0" collapsed="false">
      <c r="A472" s="8" t="n">
        <v>3</v>
      </c>
      <c r="B472" s="39" t="n">
        <f aca="false">EDATE(StartDate,A472-1)</f>
        <v>46447</v>
      </c>
      <c r="C472" s="24" t="str">
        <f aca="false">Monthly!$B$21</f>
        <v>EnergyWave, Inc.</v>
      </c>
      <c r="D472" s="24" t="str">
        <f aca="false">Monthly!$C$21</f>
        <v>Payroll</v>
      </c>
      <c r="E472" s="24" t="str">
        <f aca="false">Monthly!$D$21</f>
        <v>Salary &amp; load</v>
      </c>
      <c r="F472" s="24" t="str">
        <f aca="false">Monthly!$A$21</f>
        <v>Software / Algorithms Engineer</v>
      </c>
      <c r="G472" s="20" t="n">
        <f aca="false">Monthly!H$21</f>
        <v>16266.6666666667</v>
      </c>
      <c r="H472" s="24" t="str">
        <f aca="false">ScenarioName</f>
        <v>Base</v>
      </c>
    </row>
    <row r="473" customFormat="false" ht="15" hidden="false" customHeight="false" outlineLevel="0" collapsed="false">
      <c r="A473" s="8" t="n">
        <v>4</v>
      </c>
      <c r="B473" s="39" t="n">
        <f aca="false">EDATE(StartDate,A473-1)</f>
        <v>46478</v>
      </c>
      <c r="C473" s="24" t="str">
        <f aca="false">Monthly!$B$21</f>
        <v>EnergyWave, Inc.</v>
      </c>
      <c r="D473" s="24" t="str">
        <f aca="false">Monthly!$C$21</f>
        <v>Payroll</v>
      </c>
      <c r="E473" s="24" t="str">
        <f aca="false">Monthly!$D$21</f>
        <v>Salary &amp; load</v>
      </c>
      <c r="F473" s="24" t="str">
        <f aca="false">Monthly!$A$21</f>
        <v>Software / Algorithms Engineer</v>
      </c>
      <c r="G473" s="20" t="n">
        <f aca="false">Monthly!I$21</f>
        <v>16266.6666666667</v>
      </c>
      <c r="H473" s="24" t="str">
        <f aca="false">ScenarioName</f>
        <v>Base</v>
      </c>
    </row>
    <row r="474" customFormat="false" ht="15" hidden="false" customHeight="false" outlineLevel="0" collapsed="false">
      <c r="A474" s="8" t="n">
        <v>5</v>
      </c>
      <c r="B474" s="39" t="n">
        <f aca="false">EDATE(StartDate,A474-1)</f>
        <v>46508</v>
      </c>
      <c r="C474" s="24" t="str">
        <f aca="false">Monthly!$B$21</f>
        <v>EnergyWave, Inc.</v>
      </c>
      <c r="D474" s="24" t="str">
        <f aca="false">Monthly!$C$21</f>
        <v>Payroll</v>
      </c>
      <c r="E474" s="24" t="str">
        <f aca="false">Monthly!$D$21</f>
        <v>Salary &amp; load</v>
      </c>
      <c r="F474" s="24" t="str">
        <f aca="false">Monthly!$A$21</f>
        <v>Software / Algorithms Engineer</v>
      </c>
      <c r="G474" s="20" t="n">
        <f aca="false">Monthly!J$21</f>
        <v>16266.6666666667</v>
      </c>
      <c r="H474" s="24" t="str">
        <f aca="false">ScenarioName</f>
        <v>Base</v>
      </c>
    </row>
    <row r="475" customFormat="false" ht="15" hidden="false" customHeight="false" outlineLevel="0" collapsed="false">
      <c r="A475" s="8" t="n">
        <v>6</v>
      </c>
      <c r="B475" s="39" t="n">
        <f aca="false">EDATE(StartDate,A475-1)</f>
        <v>46539</v>
      </c>
      <c r="C475" s="24" t="str">
        <f aca="false">Monthly!$B$21</f>
        <v>EnergyWave, Inc.</v>
      </c>
      <c r="D475" s="24" t="str">
        <f aca="false">Monthly!$C$21</f>
        <v>Payroll</v>
      </c>
      <c r="E475" s="24" t="str">
        <f aca="false">Monthly!$D$21</f>
        <v>Salary &amp; load</v>
      </c>
      <c r="F475" s="24" t="str">
        <f aca="false">Monthly!$A$21</f>
        <v>Software / Algorithms Engineer</v>
      </c>
      <c r="G475" s="20" t="n">
        <f aca="false">Monthly!K$21</f>
        <v>16266.6666666667</v>
      </c>
      <c r="H475" s="24" t="str">
        <f aca="false">ScenarioName</f>
        <v>Base</v>
      </c>
    </row>
    <row r="476" customFormat="false" ht="15" hidden="false" customHeight="false" outlineLevel="0" collapsed="false">
      <c r="A476" s="8" t="n">
        <v>7</v>
      </c>
      <c r="B476" s="39" t="n">
        <f aca="false">EDATE(StartDate,A476-1)</f>
        <v>46569</v>
      </c>
      <c r="C476" s="24" t="str">
        <f aca="false">Monthly!$B$21</f>
        <v>EnergyWave, Inc.</v>
      </c>
      <c r="D476" s="24" t="str">
        <f aca="false">Monthly!$C$21</f>
        <v>Payroll</v>
      </c>
      <c r="E476" s="24" t="str">
        <f aca="false">Monthly!$D$21</f>
        <v>Salary &amp; load</v>
      </c>
      <c r="F476" s="24" t="str">
        <f aca="false">Monthly!$A$21</f>
        <v>Software / Algorithms Engineer</v>
      </c>
      <c r="G476" s="20" t="n">
        <f aca="false">Monthly!L$21</f>
        <v>16266.6666666667</v>
      </c>
      <c r="H476" s="24" t="str">
        <f aca="false">ScenarioName</f>
        <v>Base</v>
      </c>
    </row>
    <row r="477" customFormat="false" ht="15" hidden="false" customHeight="false" outlineLevel="0" collapsed="false">
      <c r="A477" s="8" t="n">
        <v>8</v>
      </c>
      <c r="B477" s="39" t="n">
        <f aca="false">EDATE(StartDate,A477-1)</f>
        <v>46600</v>
      </c>
      <c r="C477" s="24" t="str">
        <f aca="false">Monthly!$B$21</f>
        <v>EnergyWave, Inc.</v>
      </c>
      <c r="D477" s="24" t="str">
        <f aca="false">Monthly!$C$21</f>
        <v>Payroll</v>
      </c>
      <c r="E477" s="24" t="str">
        <f aca="false">Monthly!$D$21</f>
        <v>Salary &amp; load</v>
      </c>
      <c r="F477" s="24" t="str">
        <f aca="false">Monthly!$A$21</f>
        <v>Software / Algorithms Engineer</v>
      </c>
      <c r="G477" s="20" t="n">
        <f aca="false">Monthly!M$21</f>
        <v>16266.6666666667</v>
      </c>
      <c r="H477" s="24" t="str">
        <f aca="false">ScenarioName</f>
        <v>Base</v>
      </c>
    </row>
    <row r="478" customFormat="false" ht="15" hidden="false" customHeight="false" outlineLevel="0" collapsed="false">
      <c r="A478" s="8" t="n">
        <v>9</v>
      </c>
      <c r="B478" s="39" t="n">
        <f aca="false">EDATE(StartDate,A478-1)</f>
        <v>46631</v>
      </c>
      <c r="C478" s="24" t="str">
        <f aca="false">Monthly!$B$21</f>
        <v>EnergyWave, Inc.</v>
      </c>
      <c r="D478" s="24" t="str">
        <f aca="false">Monthly!$C$21</f>
        <v>Payroll</v>
      </c>
      <c r="E478" s="24" t="str">
        <f aca="false">Monthly!$D$21</f>
        <v>Salary &amp; load</v>
      </c>
      <c r="F478" s="24" t="str">
        <f aca="false">Monthly!$A$21</f>
        <v>Software / Algorithms Engineer</v>
      </c>
      <c r="G478" s="20" t="n">
        <f aca="false">Monthly!N$21</f>
        <v>16266.6666666667</v>
      </c>
      <c r="H478" s="24" t="str">
        <f aca="false">ScenarioName</f>
        <v>Base</v>
      </c>
    </row>
    <row r="479" customFormat="false" ht="15" hidden="false" customHeight="false" outlineLevel="0" collapsed="false">
      <c r="A479" s="8" t="n">
        <v>10</v>
      </c>
      <c r="B479" s="39" t="n">
        <f aca="false">EDATE(StartDate,A479-1)</f>
        <v>46661</v>
      </c>
      <c r="C479" s="24" t="str">
        <f aca="false">Monthly!$B$21</f>
        <v>EnergyWave, Inc.</v>
      </c>
      <c r="D479" s="24" t="str">
        <f aca="false">Monthly!$C$21</f>
        <v>Payroll</v>
      </c>
      <c r="E479" s="24" t="str">
        <f aca="false">Monthly!$D$21</f>
        <v>Salary &amp; load</v>
      </c>
      <c r="F479" s="24" t="str">
        <f aca="false">Monthly!$A$21</f>
        <v>Software / Algorithms Engineer</v>
      </c>
      <c r="G479" s="20" t="n">
        <f aca="false">Monthly!O$21</f>
        <v>16266.6666666667</v>
      </c>
      <c r="H479" s="24" t="str">
        <f aca="false">ScenarioName</f>
        <v>Base</v>
      </c>
    </row>
    <row r="480" customFormat="false" ht="15" hidden="false" customHeight="false" outlineLevel="0" collapsed="false">
      <c r="A480" s="8" t="n">
        <v>11</v>
      </c>
      <c r="B480" s="39" t="n">
        <f aca="false">EDATE(StartDate,A480-1)</f>
        <v>46692</v>
      </c>
      <c r="C480" s="24" t="str">
        <f aca="false">Monthly!$B$21</f>
        <v>EnergyWave, Inc.</v>
      </c>
      <c r="D480" s="24" t="str">
        <f aca="false">Monthly!$C$21</f>
        <v>Payroll</v>
      </c>
      <c r="E480" s="24" t="str">
        <f aca="false">Monthly!$D$21</f>
        <v>Salary &amp; load</v>
      </c>
      <c r="F480" s="24" t="str">
        <f aca="false">Monthly!$A$21</f>
        <v>Software / Algorithms Engineer</v>
      </c>
      <c r="G480" s="20" t="n">
        <f aca="false">Monthly!P$21</f>
        <v>16266.6666666667</v>
      </c>
      <c r="H480" s="24" t="str">
        <f aca="false">ScenarioName</f>
        <v>Base</v>
      </c>
    </row>
    <row r="481" customFormat="false" ht="15" hidden="false" customHeight="false" outlineLevel="0" collapsed="false">
      <c r="A481" s="8" t="n">
        <v>12</v>
      </c>
      <c r="B481" s="39" t="n">
        <f aca="false">EDATE(StartDate,A481-1)</f>
        <v>46722</v>
      </c>
      <c r="C481" s="24" t="str">
        <f aca="false">Monthly!$B$21</f>
        <v>EnergyWave, Inc.</v>
      </c>
      <c r="D481" s="24" t="str">
        <f aca="false">Monthly!$C$21</f>
        <v>Payroll</v>
      </c>
      <c r="E481" s="24" t="str">
        <f aca="false">Monthly!$D$21</f>
        <v>Salary &amp; load</v>
      </c>
      <c r="F481" s="24" t="str">
        <f aca="false">Monthly!$A$21</f>
        <v>Software / Algorithms Engineer</v>
      </c>
      <c r="G481" s="20" t="n">
        <f aca="false">Monthly!Q$21</f>
        <v>16266.6666666667</v>
      </c>
      <c r="H481" s="24" t="str">
        <f aca="false">ScenarioName</f>
        <v>Base</v>
      </c>
    </row>
    <row r="482" customFormat="false" ht="15" hidden="false" customHeight="false" outlineLevel="0" collapsed="false">
      <c r="A482" s="8" t="n">
        <v>13</v>
      </c>
      <c r="B482" s="39" t="n">
        <f aca="false">EDATE(StartDate,A482-1)</f>
        <v>46753</v>
      </c>
      <c r="C482" s="24" t="str">
        <f aca="false">Monthly!$B$21</f>
        <v>EnergyWave, Inc.</v>
      </c>
      <c r="D482" s="24" t="str">
        <f aca="false">Monthly!$C$21</f>
        <v>Payroll</v>
      </c>
      <c r="E482" s="24" t="str">
        <f aca="false">Monthly!$D$21</f>
        <v>Salary &amp; load</v>
      </c>
      <c r="F482" s="24" t="str">
        <f aca="false">Monthly!$A$21</f>
        <v>Software / Algorithms Engineer</v>
      </c>
      <c r="G482" s="20" t="n">
        <f aca="false">Monthly!R$21</f>
        <v>16266.6666666667</v>
      </c>
      <c r="H482" s="24" t="str">
        <f aca="false">ScenarioName</f>
        <v>Base</v>
      </c>
    </row>
    <row r="483" customFormat="false" ht="15" hidden="false" customHeight="false" outlineLevel="0" collapsed="false">
      <c r="A483" s="8" t="n">
        <v>14</v>
      </c>
      <c r="B483" s="39" t="n">
        <f aca="false">EDATE(StartDate,A483-1)</f>
        <v>46784</v>
      </c>
      <c r="C483" s="24" t="str">
        <f aca="false">Monthly!$B$21</f>
        <v>EnergyWave, Inc.</v>
      </c>
      <c r="D483" s="24" t="str">
        <f aca="false">Monthly!$C$21</f>
        <v>Payroll</v>
      </c>
      <c r="E483" s="24" t="str">
        <f aca="false">Monthly!$D$21</f>
        <v>Salary &amp; load</v>
      </c>
      <c r="F483" s="24" t="str">
        <f aca="false">Monthly!$A$21</f>
        <v>Software / Algorithms Engineer</v>
      </c>
      <c r="G483" s="20" t="n">
        <f aca="false">Monthly!S$21</f>
        <v>16266.6666666667</v>
      </c>
      <c r="H483" s="24" t="str">
        <f aca="false">ScenarioName</f>
        <v>Base</v>
      </c>
    </row>
    <row r="484" customFormat="false" ht="15" hidden="false" customHeight="false" outlineLevel="0" collapsed="false">
      <c r="A484" s="8" t="n">
        <v>15</v>
      </c>
      <c r="B484" s="39" t="n">
        <f aca="false">EDATE(StartDate,A484-1)</f>
        <v>46813</v>
      </c>
      <c r="C484" s="24" t="str">
        <f aca="false">Monthly!$B$21</f>
        <v>EnergyWave, Inc.</v>
      </c>
      <c r="D484" s="24" t="str">
        <f aca="false">Monthly!$C$21</f>
        <v>Payroll</v>
      </c>
      <c r="E484" s="24" t="str">
        <f aca="false">Monthly!$D$21</f>
        <v>Salary &amp; load</v>
      </c>
      <c r="F484" s="24" t="str">
        <f aca="false">Monthly!$A$21</f>
        <v>Software / Algorithms Engineer</v>
      </c>
      <c r="G484" s="20" t="n">
        <f aca="false">Monthly!T$21</f>
        <v>16266.6666666667</v>
      </c>
      <c r="H484" s="24" t="str">
        <f aca="false">ScenarioName</f>
        <v>Base</v>
      </c>
    </row>
    <row r="485" customFormat="false" ht="15" hidden="false" customHeight="false" outlineLevel="0" collapsed="false">
      <c r="A485" s="8" t="n">
        <v>16</v>
      </c>
      <c r="B485" s="39" t="n">
        <f aca="false">EDATE(StartDate,A485-1)</f>
        <v>46844</v>
      </c>
      <c r="C485" s="24" t="str">
        <f aca="false">Monthly!$B$21</f>
        <v>EnergyWave, Inc.</v>
      </c>
      <c r="D485" s="24" t="str">
        <f aca="false">Monthly!$C$21</f>
        <v>Payroll</v>
      </c>
      <c r="E485" s="24" t="str">
        <f aca="false">Monthly!$D$21</f>
        <v>Salary &amp; load</v>
      </c>
      <c r="F485" s="24" t="str">
        <f aca="false">Monthly!$A$21</f>
        <v>Software / Algorithms Engineer</v>
      </c>
      <c r="G485" s="20" t="n">
        <f aca="false">Monthly!U$21</f>
        <v>16266.6666666667</v>
      </c>
      <c r="H485" s="24" t="str">
        <f aca="false">ScenarioName</f>
        <v>Base</v>
      </c>
    </row>
    <row r="486" customFormat="false" ht="15" hidden="false" customHeight="false" outlineLevel="0" collapsed="false">
      <c r="A486" s="8" t="n">
        <v>17</v>
      </c>
      <c r="B486" s="39" t="n">
        <f aca="false">EDATE(StartDate,A486-1)</f>
        <v>46874</v>
      </c>
      <c r="C486" s="24" t="str">
        <f aca="false">Monthly!$B$21</f>
        <v>EnergyWave, Inc.</v>
      </c>
      <c r="D486" s="24" t="str">
        <f aca="false">Monthly!$C$21</f>
        <v>Payroll</v>
      </c>
      <c r="E486" s="24" t="str">
        <f aca="false">Monthly!$D$21</f>
        <v>Salary &amp; load</v>
      </c>
      <c r="F486" s="24" t="str">
        <f aca="false">Monthly!$A$21</f>
        <v>Software / Algorithms Engineer</v>
      </c>
      <c r="G486" s="20" t="n">
        <f aca="false">Monthly!V$21</f>
        <v>16266.6666666667</v>
      </c>
      <c r="H486" s="24" t="str">
        <f aca="false">ScenarioName</f>
        <v>Base</v>
      </c>
    </row>
    <row r="487" customFormat="false" ht="15" hidden="false" customHeight="false" outlineLevel="0" collapsed="false">
      <c r="A487" s="8" t="n">
        <v>18</v>
      </c>
      <c r="B487" s="39" t="n">
        <f aca="false">EDATE(StartDate,A487-1)</f>
        <v>46905</v>
      </c>
      <c r="C487" s="24" t="str">
        <f aca="false">Monthly!$B$21</f>
        <v>EnergyWave, Inc.</v>
      </c>
      <c r="D487" s="24" t="str">
        <f aca="false">Monthly!$C$21</f>
        <v>Payroll</v>
      </c>
      <c r="E487" s="24" t="str">
        <f aca="false">Monthly!$D$21</f>
        <v>Salary &amp; load</v>
      </c>
      <c r="F487" s="24" t="str">
        <f aca="false">Monthly!$A$21</f>
        <v>Software / Algorithms Engineer</v>
      </c>
      <c r="G487" s="20" t="n">
        <f aca="false">Monthly!W$21</f>
        <v>16266.6666666667</v>
      </c>
      <c r="H487" s="24" t="str">
        <f aca="false">ScenarioName</f>
        <v>Base</v>
      </c>
    </row>
    <row r="488" customFormat="false" ht="15" hidden="false" customHeight="false" outlineLevel="0" collapsed="false">
      <c r="A488" s="8" t="n">
        <v>19</v>
      </c>
      <c r="B488" s="39" t="n">
        <f aca="false">EDATE(StartDate,A488-1)</f>
        <v>46935</v>
      </c>
      <c r="C488" s="24" t="str">
        <f aca="false">Monthly!$B$21</f>
        <v>EnergyWave, Inc.</v>
      </c>
      <c r="D488" s="24" t="str">
        <f aca="false">Monthly!$C$21</f>
        <v>Payroll</v>
      </c>
      <c r="E488" s="24" t="str">
        <f aca="false">Monthly!$D$21</f>
        <v>Salary &amp; load</v>
      </c>
      <c r="F488" s="24" t="str">
        <f aca="false">Monthly!$A$21</f>
        <v>Software / Algorithms Engineer</v>
      </c>
      <c r="G488" s="20" t="n">
        <f aca="false">Monthly!X$21</f>
        <v>16266.6666666667</v>
      </c>
      <c r="H488" s="24" t="str">
        <f aca="false">ScenarioName</f>
        <v>Base</v>
      </c>
    </row>
    <row r="489" customFormat="false" ht="15" hidden="false" customHeight="false" outlineLevel="0" collapsed="false">
      <c r="A489" s="8" t="n">
        <v>20</v>
      </c>
      <c r="B489" s="39" t="n">
        <f aca="false">EDATE(StartDate,A489-1)</f>
        <v>46966</v>
      </c>
      <c r="C489" s="24" t="str">
        <f aca="false">Monthly!$B$21</f>
        <v>EnergyWave, Inc.</v>
      </c>
      <c r="D489" s="24" t="str">
        <f aca="false">Monthly!$C$21</f>
        <v>Payroll</v>
      </c>
      <c r="E489" s="24" t="str">
        <f aca="false">Monthly!$D$21</f>
        <v>Salary &amp; load</v>
      </c>
      <c r="F489" s="24" t="str">
        <f aca="false">Monthly!$A$21</f>
        <v>Software / Algorithms Engineer</v>
      </c>
      <c r="G489" s="20" t="n">
        <f aca="false">Monthly!Y$21</f>
        <v>16266.6666666667</v>
      </c>
      <c r="H489" s="24" t="str">
        <f aca="false">ScenarioName</f>
        <v>Base</v>
      </c>
    </row>
    <row r="490" customFormat="false" ht="15" hidden="false" customHeight="false" outlineLevel="0" collapsed="false">
      <c r="A490" s="8" t="n">
        <v>21</v>
      </c>
      <c r="B490" s="39" t="n">
        <f aca="false">EDATE(StartDate,A490-1)</f>
        <v>46997</v>
      </c>
      <c r="C490" s="24" t="str">
        <f aca="false">Monthly!$B$21</f>
        <v>EnergyWave, Inc.</v>
      </c>
      <c r="D490" s="24" t="str">
        <f aca="false">Monthly!$C$21</f>
        <v>Payroll</v>
      </c>
      <c r="E490" s="24" t="str">
        <f aca="false">Monthly!$D$21</f>
        <v>Salary &amp; load</v>
      </c>
      <c r="F490" s="24" t="str">
        <f aca="false">Monthly!$A$21</f>
        <v>Software / Algorithms Engineer</v>
      </c>
      <c r="G490" s="20" t="n">
        <f aca="false">Monthly!Z$21</f>
        <v>16266.6666666667</v>
      </c>
      <c r="H490" s="24" t="str">
        <f aca="false">ScenarioName</f>
        <v>Base</v>
      </c>
    </row>
    <row r="491" customFormat="false" ht="15" hidden="false" customHeight="false" outlineLevel="0" collapsed="false">
      <c r="A491" s="8" t="n">
        <v>22</v>
      </c>
      <c r="B491" s="39" t="n">
        <f aca="false">EDATE(StartDate,A491-1)</f>
        <v>47027</v>
      </c>
      <c r="C491" s="24" t="str">
        <f aca="false">Monthly!$B$21</f>
        <v>EnergyWave, Inc.</v>
      </c>
      <c r="D491" s="24" t="str">
        <f aca="false">Monthly!$C$21</f>
        <v>Payroll</v>
      </c>
      <c r="E491" s="24" t="str">
        <f aca="false">Monthly!$D$21</f>
        <v>Salary &amp; load</v>
      </c>
      <c r="F491" s="24" t="str">
        <f aca="false">Monthly!$A$21</f>
        <v>Software / Algorithms Engineer</v>
      </c>
      <c r="G491" s="20" t="n">
        <f aca="false">Monthly!AA$21</f>
        <v>16266.6666666667</v>
      </c>
      <c r="H491" s="24" t="str">
        <f aca="false">ScenarioName</f>
        <v>Base</v>
      </c>
    </row>
    <row r="492" customFormat="false" ht="15" hidden="false" customHeight="false" outlineLevel="0" collapsed="false">
      <c r="A492" s="8" t="n">
        <v>23</v>
      </c>
      <c r="B492" s="39" t="n">
        <f aca="false">EDATE(StartDate,A492-1)</f>
        <v>47058</v>
      </c>
      <c r="C492" s="24" t="str">
        <f aca="false">Monthly!$B$21</f>
        <v>EnergyWave, Inc.</v>
      </c>
      <c r="D492" s="24" t="str">
        <f aca="false">Monthly!$C$21</f>
        <v>Payroll</v>
      </c>
      <c r="E492" s="24" t="str">
        <f aca="false">Monthly!$D$21</f>
        <v>Salary &amp; load</v>
      </c>
      <c r="F492" s="24" t="str">
        <f aca="false">Monthly!$A$21</f>
        <v>Software / Algorithms Engineer</v>
      </c>
      <c r="G492" s="20" t="n">
        <f aca="false">Monthly!AB$21</f>
        <v>16266.6666666667</v>
      </c>
      <c r="H492" s="24" t="str">
        <f aca="false">ScenarioName</f>
        <v>Base</v>
      </c>
    </row>
    <row r="493" customFormat="false" ht="15" hidden="false" customHeight="false" outlineLevel="0" collapsed="false">
      <c r="A493" s="8" t="n">
        <v>24</v>
      </c>
      <c r="B493" s="39" t="n">
        <f aca="false">EDATE(StartDate,A493-1)</f>
        <v>47088</v>
      </c>
      <c r="C493" s="24" t="str">
        <f aca="false">Monthly!$B$21</f>
        <v>EnergyWave, Inc.</v>
      </c>
      <c r="D493" s="24" t="str">
        <f aca="false">Monthly!$C$21</f>
        <v>Payroll</v>
      </c>
      <c r="E493" s="24" t="str">
        <f aca="false">Monthly!$D$21</f>
        <v>Salary &amp; load</v>
      </c>
      <c r="F493" s="24" t="str">
        <f aca="false">Monthly!$A$21</f>
        <v>Software / Algorithms Engineer</v>
      </c>
      <c r="G493" s="20" t="n">
        <f aca="false">Monthly!AC$21</f>
        <v>16266.6666666667</v>
      </c>
      <c r="H493" s="24" t="str">
        <f aca="false">ScenarioName</f>
        <v>Base</v>
      </c>
    </row>
    <row r="494" customFormat="false" ht="15" hidden="false" customHeight="false" outlineLevel="0" collapsed="false">
      <c r="A494" s="8" t="n">
        <v>25</v>
      </c>
      <c r="B494" s="39" t="n">
        <f aca="false">EDATE(StartDate,A494-1)</f>
        <v>47119</v>
      </c>
      <c r="C494" s="24" t="str">
        <f aca="false">Monthly!$B$21</f>
        <v>EnergyWave, Inc.</v>
      </c>
      <c r="D494" s="24" t="str">
        <f aca="false">Monthly!$C$21</f>
        <v>Payroll</v>
      </c>
      <c r="E494" s="24" t="str">
        <f aca="false">Monthly!$D$21</f>
        <v>Salary &amp; load</v>
      </c>
      <c r="F494" s="24" t="str">
        <f aca="false">Monthly!$A$21</f>
        <v>Software / Algorithms Engineer</v>
      </c>
      <c r="G494" s="20" t="n">
        <f aca="false">Monthly!AD$21</f>
        <v>16266.6666666667</v>
      </c>
      <c r="H494" s="24" t="str">
        <f aca="false">ScenarioName</f>
        <v>Base</v>
      </c>
    </row>
    <row r="495" customFormat="false" ht="15" hidden="false" customHeight="false" outlineLevel="0" collapsed="false">
      <c r="A495" s="8" t="n">
        <v>26</v>
      </c>
      <c r="B495" s="39" t="n">
        <f aca="false">EDATE(StartDate,A495-1)</f>
        <v>47150</v>
      </c>
      <c r="C495" s="24" t="str">
        <f aca="false">Monthly!$B$21</f>
        <v>EnergyWave, Inc.</v>
      </c>
      <c r="D495" s="24" t="str">
        <f aca="false">Monthly!$C$21</f>
        <v>Payroll</v>
      </c>
      <c r="E495" s="24" t="str">
        <f aca="false">Monthly!$D$21</f>
        <v>Salary &amp; load</v>
      </c>
      <c r="F495" s="24" t="str">
        <f aca="false">Monthly!$A$21</f>
        <v>Software / Algorithms Engineer</v>
      </c>
      <c r="G495" s="20" t="n">
        <f aca="false">Monthly!AE$21</f>
        <v>16266.6666666667</v>
      </c>
      <c r="H495" s="24" t="str">
        <f aca="false">ScenarioName</f>
        <v>Base</v>
      </c>
    </row>
    <row r="496" customFormat="false" ht="15" hidden="false" customHeight="false" outlineLevel="0" collapsed="false">
      <c r="A496" s="8" t="n">
        <v>27</v>
      </c>
      <c r="B496" s="39" t="n">
        <f aca="false">EDATE(StartDate,A496-1)</f>
        <v>47178</v>
      </c>
      <c r="C496" s="24" t="str">
        <f aca="false">Monthly!$B$21</f>
        <v>EnergyWave, Inc.</v>
      </c>
      <c r="D496" s="24" t="str">
        <f aca="false">Monthly!$C$21</f>
        <v>Payroll</v>
      </c>
      <c r="E496" s="24" t="str">
        <f aca="false">Monthly!$D$21</f>
        <v>Salary &amp; load</v>
      </c>
      <c r="F496" s="24" t="str">
        <f aca="false">Monthly!$A$21</f>
        <v>Software / Algorithms Engineer</v>
      </c>
      <c r="G496" s="20" t="n">
        <f aca="false">Monthly!AF$21</f>
        <v>16266.6666666667</v>
      </c>
      <c r="H496" s="24" t="str">
        <f aca="false">ScenarioName</f>
        <v>Base</v>
      </c>
    </row>
    <row r="497" customFormat="false" ht="15" hidden="false" customHeight="false" outlineLevel="0" collapsed="false">
      <c r="A497" s="8" t="n">
        <v>28</v>
      </c>
      <c r="B497" s="39" t="n">
        <f aca="false">EDATE(StartDate,A497-1)</f>
        <v>47209</v>
      </c>
      <c r="C497" s="24" t="str">
        <f aca="false">Monthly!$B$21</f>
        <v>EnergyWave, Inc.</v>
      </c>
      <c r="D497" s="24" t="str">
        <f aca="false">Monthly!$C$21</f>
        <v>Payroll</v>
      </c>
      <c r="E497" s="24" t="str">
        <f aca="false">Monthly!$D$21</f>
        <v>Salary &amp; load</v>
      </c>
      <c r="F497" s="24" t="str">
        <f aca="false">Monthly!$A$21</f>
        <v>Software / Algorithms Engineer</v>
      </c>
      <c r="G497" s="20" t="n">
        <f aca="false">Monthly!AG$21</f>
        <v>16266.6666666667</v>
      </c>
      <c r="H497" s="24" t="str">
        <f aca="false">ScenarioName</f>
        <v>Base</v>
      </c>
    </row>
    <row r="498" customFormat="false" ht="15" hidden="false" customHeight="false" outlineLevel="0" collapsed="false">
      <c r="A498" s="8" t="n">
        <v>29</v>
      </c>
      <c r="B498" s="39" t="n">
        <f aca="false">EDATE(StartDate,A498-1)</f>
        <v>47239</v>
      </c>
      <c r="C498" s="24" t="str">
        <f aca="false">Monthly!$B$21</f>
        <v>EnergyWave, Inc.</v>
      </c>
      <c r="D498" s="24" t="str">
        <f aca="false">Monthly!$C$21</f>
        <v>Payroll</v>
      </c>
      <c r="E498" s="24" t="str">
        <f aca="false">Monthly!$D$21</f>
        <v>Salary &amp; load</v>
      </c>
      <c r="F498" s="24" t="str">
        <f aca="false">Monthly!$A$21</f>
        <v>Software / Algorithms Engineer</v>
      </c>
      <c r="G498" s="20" t="n">
        <f aca="false">Monthly!AH$21</f>
        <v>16266.6666666667</v>
      </c>
      <c r="H498" s="24" t="str">
        <f aca="false">ScenarioName</f>
        <v>Base</v>
      </c>
    </row>
    <row r="499" customFormat="false" ht="15" hidden="false" customHeight="false" outlineLevel="0" collapsed="false">
      <c r="A499" s="8" t="n">
        <v>30</v>
      </c>
      <c r="B499" s="39" t="n">
        <f aca="false">EDATE(StartDate,A499-1)</f>
        <v>47270</v>
      </c>
      <c r="C499" s="24" t="str">
        <f aca="false">Monthly!$B$21</f>
        <v>EnergyWave, Inc.</v>
      </c>
      <c r="D499" s="24" t="str">
        <f aca="false">Monthly!$C$21</f>
        <v>Payroll</v>
      </c>
      <c r="E499" s="24" t="str">
        <f aca="false">Monthly!$D$21</f>
        <v>Salary &amp; load</v>
      </c>
      <c r="F499" s="24" t="str">
        <f aca="false">Monthly!$A$21</f>
        <v>Software / Algorithms Engineer</v>
      </c>
      <c r="G499" s="20" t="n">
        <f aca="false">Monthly!AI$21</f>
        <v>16266.6666666667</v>
      </c>
      <c r="H499" s="24" t="str">
        <f aca="false">ScenarioName</f>
        <v>Base</v>
      </c>
    </row>
    <row r="500" customFormat="false" ht="15" hidden="false" customHeight="false" outlineLevel="0" collapsed="false">
      <c r="A500" s="8" t="n">
        <v>31</v>
      </c>
      <c r="B500" s="39" t="n">
        <f aca="false">EDATE(StartDate,A500-1)</f>
        <v>47300</v>
      </c>
      <c r="C500" s="24" t="str">
        <f aca="false">Monthly!$B$21</f>
        <v>EnergyWave, Inc.</v>
      </c>
      <c r="D500" s="24" t="str">
        <f aca="false">Monthly!$C$21</f>
        <v>Payroll</v>
      </c>
      <c r="E500" s="24" t="str">
        <f aca="false">Monthly!$D$21</f>
        <v>Salary &amp; load</v>
      </c>
      <c r="F500" s="24" t="str">
        <f aca="false">Monthly!$A$21</f>
        <v>Software / Algorithms Engineer</v>
      </c>
      <c r="G500" s="20" t="n">
        <f aca="false">Monthly!AJ$21</f>
        <v>16266.6666666667</v>
      </c>
      <c r="H500" s="24" t="str">
        <f aca="false">ScenarioName</f>
        <v>Base</v>
      </c>
    </row>
    <row r="501" customFormat="false" ht="15" hidden="false" customHeight="false" outlineLevel="0" collapsed="false">
      <c r="A501" s="8" t="n">
        <v>32</v>
      </c>
      <c r="B501" s="39" t="n">
        <f aca="false">EDATE(StartDate,A501-1)</f>
        <v>47331</v>
      </c>
      <c r="C501" s="24" t="str">
        <f aca="false">Monthly!$B$21</f>
        <v>EnergyWave, Inc.</v>
      </c>
      <c r="D501" s="24" t="str">
        <f aca="false">Monthly!$C$21</f>
        <v>Payroll</v>
      </c>
      <c r="E501" s="24" t="str">
        <f aca="false">Monthly!$D$21</f>
        <v>Salary &amp; load</v>
      </c>
      <c r="F501" s="24" t="str">
        <f aca="false">Monthly!$A$21</f>
        <v>Software / Algorithms Engineer</v>
      </c>
      <c r="G501" s="20" t="n">
        <f aca="false">Monthly!AK$21</f>
        <v>16266.6666666667</v>
      </c>
      <c r="H501" s="24" t="str">
        <f aca="false">ScenarioName</f>
        <v>Base</v>
      </c>
    </row>
    <row r="502" customFormat="false" ht="15" hidden="false" customHeight="false" outlineLevel="0" collapsed="false">
      <c r="A502" s="8" t="n">
        <v>33</v>
      </c>
      <c r="B502" s="39" t="n">
        <f aca="false">EDATE(StartDate,A502-1)</f>
        <v>47362</v>
      </c>
      <c r="C502" s="24" t="str">
        <f aca="false">Monthly!$B$21</f>
        <v>EnergyWave, Inc.</v>
      </c>
      <c r="D502" s="24" t="str">
        <f aca="false">Monthly!$C$21</f>
        <v>Payroll</v>
      </c>
      <c r="E502" s="24" t="str">
        <f aca="false">Monthly!$D$21</f>
        <v>Salary &amp; load</v>
      </c>
      <c r="F502" s="24" t="str">
        <f aca="false">Monthly!$A$21</f>
        <v>Software / Algorithms Engineer</v>
      </c>
      <c r="G502" s="20" t="n">
        <f aca="false">Monthly!AL$21</f>
        <v>16266.6666666667</v>
      </c>
      <c r="H502" s="24" t="str">
        <f aca="false">ScenarioName</f>
        <v>Base</v>
      </c>
    </row>
    <row r="503" customFormat="false" ht="15" hidden="false" customHeight="false" outlineLevel="0" collapsed="false">
      <c r="A503" s="8" t="n">
        <v>34</v>
      </c>
      <c r="B503" s="39" t="n">
        <f aca="false">EDATE(StartDate,A503-1)</f>
        <v>47392</v>
      </c>
      <c r="C503" s="24" t="str">
        <f aca="false">Monthly!$B$21</f>
        <v>EnergyWave, Inc.</v>
      </c>
      <c r="D503" s="24" t="str">
        <f aca="false">Monthly!$C$21</f>
        <v>Payroll</v>
      </c>
      <c r="E503" s="24" t="str">
        <f aca="false">Monthly!$D$21</f>
        <v>Salary &amp; load</v>
      </c>
      <c r="F503" s="24" t="str">
        <f aca="false">Monthly!$A$21</f>
        <v>Software / Algorithms Engineer</v>
      </c>
      <c r="G503" s="20" t="n">
        <f aca="false">Monthly!AM$21</f>
        <v>16266.6666666667</v>
      </c>
      <c r="H503" s="24" t="str">
        <f aca="false">ScenarioName</f>
        <v>Base</v>
      </c>
    </row>
    <row r="504" customFormat="false" ht="15" hidden="false" customHeight="false" outlineLevel="0" collapsed="false">
      <c r="A504" s="8" t="n">
        <v>35</v>
      </c>
      <c r="B504" s="39" t="n">
        <f aca="false">EDATE(StartDate,A504-1)</f>
        <v>47423</v>
      </c>
      <c r="C504" s="24" t="str">
        <f aca="false">Monthly!$B$21</f>
        <v>EnergyWave, Inc.</v>
      </c>
      <c r="D504" s="24" t="str">
        <f aca="false">Monthly!$C$21</f>
        <v>Payroll</v>
      </c>
      <c r="E504" s="24" t="str">
        <f aca="false">Monthly!$D$21</f>
        <v>Salary &amp; load</v>
      </c>
      <c r="F504" s="24" t="str">
        <f aca="false">Monthly!$A$21</f>
        <v>Software / Algorithms Engineer</v>
      </c>
      <c r="G504" s="20" t="n">
        <f aca="false">Monthly!AN$21</f>
        <v>16266.6666666667</v>
      </c>
      <c r="H504" s="24" t="str">
        <f aca="false">ScenarioName</f>
        <v>Base</v>
      </c>
    </row>
    <row r="505" customFormat="false" ht="15" hidden="false" customHeight="false" outlineLevel="0" collapsed="false">
      <c r="A505" s="8" t="n">
        <v>36</v>
      </c>
      <c r="B505" s="39" t="n">
        <f aca="false">EDATE(StartDate,A505-1)</f>
        <v>47453</v>
      </c>
      <c r="C505" s="24" t="str">
        <f aca="false">Monthly!$B$21</f>
        <v>EnergyWave, Inc.</v>
      </c>
      <c r="D505" s="24" t="str">
        <f aca="false">Monthly!$C$21</f>
        <v>Payroll</v>
      </c>
      <c r="E505" s="24" t="str">
        <f aca="false">Monthly!$D$21</f>
        <v>Salary &amp; load</v>
      </c>
      <c r="F505" s="24" t="str">
        <f aca="false">Monthly!$A$21</f>
        <v>Software / Algorithms Engineer</v>
      </c>
      <c r="G505" s="20" t="n">
        <f aca="false">Monthly!AO$21</f>
        <v>16266.6666666667</v>
      </c>
      <c r="H505" s="24" t="str">
        <f aca="false">ScenarioName</f>
        <v>Base</v>
      </c>
    </row>
    <row r="506" customFormat="false" ht="15" hidden="false" customHeight="false" outlineLevel="0" collapsed="false">
      <c r="A506" s="8" t="n">
        <v>1</v>
      </c>
      <c r="B506" s="39" t="n">
        <f aca="false">EDATE(StartDate,A506-1)</f>
        <v>46388</v>
      </c>
      <c r="C506" s="24" t="str">
        <f aca="false">Monthly!$B$22</f>
        <v>EnergyWave, Inc.</v>
      </c>
      <c r="D506" s="24" t="str">
        <f aca="false">Monthly!$C$22</f>
        <v>Payroll</v>
      </c>
      <c r="E506" s="24" t="str">
        <f aca="false">Monthly!$D$22</f>
        <v>Salary &amp; load</v>
      </c>
      <c r="F506" s="24" t="str">
        <f aca="false">Monthly!$A$22</f>
        <v>Lab Technician</v>
      </c>
      <c r="G506" s="20" t="n">
        <f aca="false">Monthly!F$22</f>
        <v>0</v>
      </c>
      <c r="H506" s="24" t="str">
        <f aca="false">ScenarioName</f>
        <v>Base</v>
      </c>
    </row>
    <row r="507" customFormat="false" ht="15" hidden="false" customHeight="false" outlineLevel="0" collapsed="false">
      <c r="A507" s="8" t="n">
        <v>2</v>
      </c>
      <c r="B507" s="39" t="n">
        <f aca="false">EDATE(StartDate,A507-1)</f>
        <v>46419</v>
      </c>
      <c r="C507" s="24" t="str">
        <f aca="false">Monthly!$B$22</f>
        <v>EnergyWave, Inc.</v>
      </c>
      <c r="D507" s="24" t="str">
        <f aca="false">Monthly!$C$22</f>
        <v>Payroll</v>
      </c>
      <c r="E507" s="24" t="str">
        <f aca="false">Monthly!$D$22</f>
        <v>Salary &amp; load</v>
      </c>
      <c r="F507" s="24" t="str">
        <f aca="false">Monthly!$A$22</f>
        <v>Lab Technician</v>
      </c>
      <c r="G507" s="20" t="n">
        <f aca="false">Monthly!G$22</f>
        <v>0</v>
      </c>
      <c r="H507" s="24" t="str">
        <f aca="false">ScenarioName</f>
        <v>Base</v>
      </c>
    </row>
    <row r="508" customFormat="false" ht="15" hidden="false" customHeight="false" outlineLevel="0" collapsed="false">
      <c r="A508" s="8" t="n">
        <v>3</v>
      </c>
      <c r="B508" s="39" t="n">
        <f aca="false">EDATE(StartDate,A508-1)</f>
        <v>46447</v>
      </c>
      <c r="C508" s="24" t="str">
        <f aca="false">Monthly!$B$22</f>
        <v>EnergyWave, Inc.</v>
      </c>
      <c r="D508" s="24" t="str">
        <f aca="false">Monthly!$C$22</f>
        <v>Payroll</v>
      </c>
      <c r="E508" s="24" t="str">
        <f aca="false">Monthly!$D$22</f>
        <v>Salary &amp; load</v>
      </c>
      <c r="F508" s="24" t="str">
        <f aca="false">Monthly!$A$22</f>
        <v>Lab Technician</v>
      </c>
      <c r="G508" s="20" t="n">
        <f aca="false">Monthly!H$22</f>
        <v>0</v>
      </c>
      <c r="H508" s="24" t="str">
        <f aca="false">ScenarioName</f>
        <v>Base</v>
      </c>
    </row>
    <row r="509" customFormat="false" ht="15" hidden="false" customHeight="false" outlineLevel="0" collapsed="false">
      <c r="A509" s="8" t="n">
        <v>4</v>
      </c>
      <c r="B509" s="39" t="n">
        <f aca="false">EDATE(StartDate,A509-1)</f>
        <v>46478</v>
      </c>
      <c r="C509" s="24" t="str">
        <f aca="false">Monthly!$B$22</f>
        <v>EnergyWave, Inc.</v>
      </c>
      <c r="D509" s="24" t="str">
        <f aca="false">Monthly!$C$22</f>
        <v>Payroll</v>
      </c>
      <c r="E509" s="24" t="str">
        <f aca="false">Monthly!$D$22</f>
        <v>Salary &amp; load</v>
      </c>
      <c r="F509" s="24" t="str">
        <f aca="false">Monthly!$A$22</f>
        <v>Lab Technician</v>
      </c>
      <c r="G509" s="20" t="n">
        <f aca="false">Monthly!I$22</f>
        <v>8641.66666666667</v>
      </c>
      <c r="H509" s="24" t="str">
        <f aca="false">ScenarioName</f>
        <v>Base</v>
      </c>
    </row>
    <row r="510" customFormat="false" ht="15" hidden="false" customHeight="false" outlineLevel="0" collapsed="false">
      <c r="A510" s="8" t="n">
        <v>5</v>
      </c>
      <c r="B510" s="39" t="n">
        <f aca="false">EDATE(StartDate,A510-1)</f>
        <v>46508</v>
      </c>
      <c r="C510" s="24" t="str">
        <f aca="false">Monthly!$B$22</f>
        <v>EnergyWave, Inc.</v>
      </c>
      <c r="D510" s="24" t="str">
        <f aca="false">Monthly!$C$22</f>
        <v>Payroll</v>
      </c>
      <c r="E510" s="24" t="str">
        <f aca="false">Monthly!$D$22</f>
        <v>Salary &amp; load</v>
      </c>
      <c r="F510" s="24" t="str">
        <f aca="false">Monthly!$A$22</f>
        <v>Lab Technician</v>
      </c>
      <c r="G510" s="20" t="n">
        <f aca="false">Monthly!J$22</f>
        <v>8641.66666666667</v>
      </c>
      <c r="H510" s="24" t="str">
        <f aca="false">ScenarioName</f>
        <v>Base</v>
      </c>
    </row>
    <row r="511" customFormat="false" ht="15" hidden="false" customHeight="false" outlineLevel="0" collapsed="false">
      <c r="A511" s="8" t="n">
        <v>6</v>
      </c>
      <c r="B511" s="39" t="n">
        <f aca="false">EDATE(StartDate,A511-1)</f>
        <v>46539</v>
      </c>
      <c r="C511" s="24" t="str">
        <f aca="false">Monthly!$B$22</f>
        <v>EnergyWave, Inc.</v>
      </c>
      <c r="D511" s="24" t="str">
        <f aca="false">Monthly!$C$22</f>
        <v>Payroll</v>
      </c>
      <c r="E511" s="24" t="str">
        <f aca="false">Monthly!$D$22</f>
        <v>Salary &amp; load</v>
      </c>
      <c r="F511" s="24" t="str">
        <f aca="false">Monthly!$A$22</f>
        <v>Lab Technician</v>
      </c>
      <c r="G511" s="20" t="n">
        <f aca="false">Monthly!K$22</f>
        <v>8641.66666666667</v>
      </c>
      <c r="H511" s="24" t="str">
        <f aca="false">ScenarioName</f>
        <v>Base</v>
      </c>
    </row>
    <row r="512" customFormat="false" ht="15" hidden="false" customHeight="false" outlineLevel="0" collapsed="false">
      <c r="A512" s="8" t="n">
        <v>7</v>
      </c>
      <c r="B512" s="39" t="n">
        <f aca="false">EDATE(StartDate,A512-1)</f>
        <v>46569</v>
      </c>
      <c r="C512" s="24" t="str">
        <f aca="false">Monthly!$B$22</f>
        <v>EnergyWave, Inc.</v>
      </c>
      <c r="D512" s="24" t="str">
        <f aca="false">Monthly!$C$22</f>
        <v>Payroll</v>
      </c>
      <c r="E512" s="24" t="str">
        <f aca="false">Monthly!$D$22</f>
        <v>Salary &amp; load</v>
      </c>
      <c r="F512" s="24" t="str">
        <f aca="false">Monthly!$A$22</f>
        <v>Lab Technician</v>
      </c>
      <c r="G512" s="20" t="n">
        <f aca="false">Monthly!L$22</f>
        <v>8641.66666666667</v>
      </c>
      <c r="H512" s="24" t="str">
        <f aca="false">ScenarioName</f>
        <v>Base</v>
      </c>
    </row>
    <row r="513" customFormat="false" ht="15" hidden="false" customHeight="false" outlineLevel="0" collapsed="false">
      <c r="A513" s="8" t="n">
        <v>8</v>
      </c>
      <c r="B513" s="39" t="n">
        <f aca="false">EDATE(StartDate,A513-1)</f>
        <v>46600</v>
      </c>
      <c r="C513" s="24" t="str">
        <f aca="false">Monthly!$B$22</f>
        <v>EnergyWave, Inc.</v>
      </c>
      <c r="D513" s="24" t="str">
        <f aca="false">Monthly!$C$22</f>
        <v>Payroll</v>
      </c>
      <c r="E513" s="24" t="str">
        <f aca="false">Monthly!$D$22</f>
        <v>Salary &amp; load</v>
      </c>
      <c r="F513" s="24" t="str">
        <f aca="false">Monthly!$A$22</f>
        <v>Lab Technician</v>
      </c>
      <c r="G513" s="20" t="n">
        <f aca="false">Monthly!M$22</f>
        <v>8641.66666666667</v>
      </c>
      <c r="H513" s="24" t="str">
        <f aca="false">ScenarioName</f>
        <v>Base</v>
      </c>
    </row>
    <row r="514" customFormat="false" ht="15" hidden="false" customHeight="false" outlineLevel="0" collapsed="false">
      <c r="A514" s="8" t="n">
        <v>9</v>
      </c>
      <c r="B514" s="39" t="n">
        <f aca="false">EDATE(StartDate,A514-1)</f>
        <v>46631</v>
      </c>
      <c r="C514" s="24" t="str">
        <f aca="false">Monthly!$B$22</f>
        <v>EnergyWave, Inc.</v>
      </c>
      <c r="D514" s="24" t="str">
        <f aca="false">Monthly!$C$22</f>
        <v>Payroll</v>
      </c>
      <c r="E514" s="24" t="str">
        <f aca="false">Monthly!$D$22</f>
        <v>Salary &amp; load</v>
      </c>
      <c r="F514" s="24" t="str">
        <f aca="false">Monthly!$A$22</f>
        <v>Lab Technician</v>
      </c>
      <c r="G514" s="20" t="n">
        <f aca="false">Monthly!N$22</f>
        <v>8641.66666666667</v>
      </c>
      <c r="H514" s="24" t="str">
        <f aca="false">ScenarioName</f>
        <v>Base</v>
      </c>
    </row>
    <row r="515" customFormat="false" ht="15" hidden="false" customHeight="false" outlineLevel="0" collapsed="false">
      <c r="A515" s="8" t="n">
        <v>10</v>
      </c>
      <c r="B515" s="39" t="n">
        <f aca="false">EDATE(StartDate,A515-1)</f>
        <v>46661</v>
      </c>
      <c r="C515" s="24" t="str">
        <f aca="false">Monthly!$B$22</f>
        <v>EnergyWave, Inc.</v>
      </c>
      <c r="D515" s="24" t="str">
        <f aca="false">Monthly!$C$22</f>
        <v>Payroll</v>
      </c>
      <c r="E515" s="24" t="str">
        <f aca="false">Monthly!$D$22</f>
        <v>Salary &amp; load</v>
      </c>
      <c r="F515" s="24" t="str">
        <f aca="false">Monthly!$A$22</f>
        <v>Lab Technician</v>
      </c>
      <c r="G515" s="20" t="n">
        <f aca="false">Monthly!O$22</f>
        <v>8641.66666666667</v>
      </c>
      <c r="H515" s="24" t="str">
        <f aca="false">ScenarioName</f>
        <v>Base</v>
      </c>
    </row>
    <row r="516" customFormat="false" ht="15" hidden="false" customHeight="false" outlineLevel="0" collapsed="false">
      <c r="A516" s="8" t="n">
        <v>11</v>
      </c>
      <c r="B516" s="39" t="n">
        <f aca="false">EDATE(StartDate,A516-1)</f>
        <v>46692</v>
      </c>
      <c r="C516" s="24" t="str">
        <f aca="false">Monthly!$B$22</f>
        <v>EnergyWave, Inc.</v>
      </c>
      <c r="D516" s="24" t="str">
        <f aca="false">Monthly!$C$22</f>
        <v>Payroll</v>
      </c>
      <c r="E516" s="24" t="str">
        <f aca="false">Monthly!$D$22</f>
        <v>Salary &amp; load</v>
      </c>
      <c r="F516" s="24" t="str">
        <f aca="false">Monthly!$A$22</f>
        <v>Lab Technician</v>
      </c>
      <c r="G516" s="20" t="n">
        <f aca="false">Monthly!P$22</f>
        <v>8641.66666666667</v>
      </c>
      <c r="H516" s="24" t="str">
        <f aca="false">ScenarioName</f>
        <v>Base</v>
      </c>
    </row>
    <row r="517" customFormat="false" ht="15" hidden="false" customHeight="false" outlineLevel="0" collapsed="false">
      <c r="A517" s="8" t="n">
        <v>12</v>
      </c>
      <c r="B517" s="39" t="n">
        <f aca="false">EDATE(StartDate,A517-1)</f>
        <v>46722</v>
      </c>
      <c r="C517" s="24" t="str">
        <f aca="false">Monthly!$B$22</f>
        <v>EnergyWave, Inc.</v>
      </c>
      <c r="D517" s="24" t="str">
        <f aca="false">Monthly!$C$22</f>
        <v>Payroll</v>
      </c>
      <c r="E517" s="24" t="str">
        <f aca="false">Monthly!$D$22</f>
        <v>Salary &amp; load</v>
      </c>
      <c r="F517" s="24" t="str">
        <f aca="false">Monthly!$A$22</f>
        <v>Lab Technician</v>
      </c>
      <c r="G517" s="20" t="n">
        <f aca="false">Monthly!Q$22</f>
        <v>8641.66666666667</v>
      </c>
      <c r="H517" s="24" t="str">
        <f aca="false">ScenarioName</f>
        <v>Base</v>
      </c>
    </row>
    <row r="518" customFormat="false" ht="15" hidden="false" customHeight="false" outlineLevel="0" collapsed="false">
      <c r="A518" s="8" t="n">
        <v>13</v>
      </c>
      <c r="B518" s="39" t="n">
        <f aca="false">EDATE(StartDate,A518-1)</f>
        <v>46753</v>
      </c>
      <c r="C518" s="24" t="str">
        <f aca="false">Monthly!$B$22</f>
        <v>EnergyWave, Inc.</v>
      </c>
      <c r="D518" s="24" t="str">
        <f aca="false">Monthly!$C$22</f>
        <v>Payroll</v>
      </c>
      <c r="E518" s="24" t="str">
        <f aca="false">Monthly!$D$22</f>
        <v>Salary &amp; load</v>
      </c>
      <c r="F518" s="24" t="str">
        <f aca="false">Monthly!$A$22</f>
        <v>Lab Technician</v>
      </c>
      <c r="G518" s="20" t="n">
        <f aca="false">Monthly!R$22</f>
        <v>8641.66666666667</v>
      </c>
      <c r="H518" s="24" t="str">
        <f aca="false">ScenarioName</f>
        <v>Base</v>
      </c>
    </row>
    <row r="519" customFormat="false" ht="15" hidden="false" customHeight="false" outlineLevel="0" collapsed="false">
      <c r="A519" s="8" t="n">
        <v>14</v>
      </c>
      <c r="B519" s="39" t="n">
        <f aca="false">EDATE(StartDate,A519-1)</f>
        <v>46784</v>
      </c>
      <c r="C519" s="24" t="str">
        <f aca="false">Monthly!$B$22</f>
        <v>EnergyWave, Inc.</v>
      </c>
      <c r="D519" s="24" t="str">
        <f aca="false">Monthly!$C$22</f>
        <v>Payroll</v>
      </c>
      <c r="E519" s="24" t="str">
        <f aca="false">Monthly!$D$22</f>
        <v>Salary &amp; load</v>
      </c>
      <c r="F519" s="24" t="str">
        <f aca="false">Monthly!$A$22</f>
        <v>Lab Technician</v>
      </c>
      <c r="G519" s="20" t="n">
        <f aca="false">Monthly!S$22</f>
        <v>8641.66666666667</v>
      </c>
      <c r="H519" s="24" t="str">
        <f aca="false">ScenarioName</f>
        <v>Base</v>
      </c>
    </row>
    <row r="520" customFormat="false" ht="15" hidden="false" customHeight="false" outlineLevel="0" collapsed="false">
      <c r="A520" s="8" t="n">
        <v>15</v>
      </c>
      <c r="B520" s="39" t="n">
        <f aca="false">EDATE(StartDate,A520-1)</f>
        <v>46813</v>
      </c>
      <c r="C520" s="24" t="str">
        <f aca="false">Monthly!$B$22</f>
        <v>EnergyWave, Inc.</v>
      </c>
      <c r="D520" s="24" t="str">
        <f aca="false">Monthly!$C$22</f>
        <v>Payroll</v>
      </c>
      <c r="E520" s="24" t="str">
        <f aca="false">Monthly!$D$22</f>
        <v>Salary &amp; load</v>
      </c>
      <c r="F520" s="24" t="str">
        <f aca="false">Monthly!$A$22</f>
        <v>Lab Technician</v>
      </c>
      <c r="G520" s="20" t="n">
        <f aca="false">Monthly!T$22</f>
        <v>8641.66666666667</v>
      </c>
      <c r="H520" s="24" t="str">
        <f aca="false">ScenarioName</f>
        <v>Base</v>
      </c>
    </row>
    <row r="521" customFormat="false" ht="15" hidden="false" customHeight="false" outlineLevel="0" collapsed="false">
      <c r="A521" s="8" t="n">
        <v>16</v>
      </c>
      <c r="B521" s="39" t="n">
        <f aca="false">EDATE(StartDate,A521-1)</f>
        <v>46844</v>
      </c>
      <c r="C521" s="24" t="str">
        <f aca="false">Monthly!$B$22</f>
        <v>EnergyWave, Inc.</v>
      </c>
      <c r="D521" s="24" t="str">
        <f aca="false">Monthly!$C$22</f>
        <v>Payroll</v>
      </c>
      <c r="E521" s="24" t="str">
        <f aca="false">Monthly!$D$22</f>
        <v>Salary &amp; load</v>
      </c>
      <c r="F521" s="24" t="str">
        <f aca="false">Monthly!$A$22</f>
        <v>Lab Technician</v>
      </c>
      <c r="G521" s="20" t="n">
        <f aca="false">Monthly!U$22</f>
        <v>8641.66666666667</v>
      </c>
      <c r="H521" s="24" t="str">
        <f aca="false">ScenarioName</f>
        <v>Base</v>
      </c>
    </row>
    <row r="522" customFormat="false" ht="15" hidden="false" customHeight="false" outlineLevel="0" collapsed="false">
      <c r="A522" s="8" t="n">
        <v>17</v>
      </c>
      <c r="B522" s="39" t="n">
        <f aca="false">EDATE(StartDate,A522-1)</f>
        <v>46874</v>
      </c>
      <c r="C522" s="24" t="str">
        <f aca="false">Monthly!$B$22</f>
        <v>EnergyWave, Inc.</v>
      </c>
      <c r="D522" s="24" t="str">
        <f aca="false">Monthly!$C$22</f>
        <v>Payroll</v>
      </c>
      <c r="E522" s="24" t="str">
        <f aca="false">Monthly!$D$22</f>
        <v>Salary &amp; load</v>
      </c>
      <c r="F522" s="24" t="str">
        <f aca="false">Monthly!$A$22</f>
        <v>Lab Technician</v>
      </c>
      <c r="G522" s="20" t="n">
        <f aca="false">Monthly!V$22</f>
        <v>8641.66666666667</v>
      </c>
      <c r="H522" s="24" t="str">
        <f aca="false">ScenarioName</f>
        <v>Base</v>
      </c>
    </row>
    <row r="523" customFormat="false" ht="15" hidden="false" customHeight="false" outlineLevel="0" collapsed="false">
      <c r="A523" s="8" t="n">
        <v>18</v>
      </c>
      <c r="B523" s="39" t="n">
        <f aca="false">EDATE(StartDate,A523-1)</f>
        <v>46905</v>
      </c>
      <c r="C523" s="24" t="str">
        <f aca="false">Monthly!$B$22</f>
        <v>EnergyWave, Inc.</v>
      </c>
      <c r="D523" s="24" t="str">
        <f aca="false">Monthly!$C$22</f>
        <v>Payroll</v>
      </c>
      <c r="E523" s="24" t="str">
        <f aca="false">Monthly!$D$22</f>
        <v>Salary &amp; load</v>
      </c>
      <c r="F523" s="24" t="str">
        <f aca="false">Monthly!$A$22</f>
        <v>Lab Technician</v>
      </c>
      <c r="G523" s="20" t="n">
        <f aca="false">Monthly!W$22</f>
        <v>8641.66666666667</v>
      </c>
      <c r="H523" s="24" t="str">
        <f aca="false">ScenarioName</f>
        <v>Base</v>
      </c>
    </row>
    <row r="524" customFormat="false" ht="15" hidden="false" customHeight="false" outlineLevel="0" collapsed="false">
      <c r="A524" s="8" t="n">
        <v>19</v>
      </c>
      <c r="B524" s="39" t="n">
        <f aca="false">EDATE(StartDate,A524-1)</f>
        <v>46935</v>
      </c>
      <c r="C524" s="24" t="str">
        <f aca="false">Monthly!$B$22</f>
        <v>EnergyWave, Inc.</v>
      </c>
      <c r="D524" s="24" t="str">
        <f aca="false">Monthly!$C$22</f>
        <v>Payroll</v>
      </c>
      <c r="E524" s="24" t="str">
        <f aca="false">Monthly!$D$22</f>
        <v>Salary &amp; load</v>
      </c>
      <c r="F524" s="24" t="str">
        <f aca="false">Monthly!$A$22</f>
        <v>Lab Technician</v>
      </c>
      <c r="G524" s="20" t="n">
        <f aca="false">Monthly!X$22</f>
        <v>8641.66666666667</v>
      </c>
      <c r="H524" s="24" t="str">
        <f aca="false">ScenarioName</f>
        <v>Base</v>
      </c>
    </row>
    <row r="525" customFormat="false" ht="15" hidden="false" customHeight="false" outlineLevel="0" collapsed="false">
      <c r="A525" s="8" t="n">
        <v>20</v>
      </c>
      <c r="B525" s="39" t="n">
        <f aca="false">EDATE(StartDate,A525-1)</f>
        <v>46966</v>
      </c>
      <c r="C525" s="24" t="str">
        <f aca="false">Monthly!$B$22</f>
        <v>EnergyWave, Inc.</v>
      </c>
      <c r="D525" s="24" t="str">
        <f aca="false">Monthly!$C$22</f>
        <v>Payroll</v>
      </c>
      <c r="E525" s="24" t="str">
        <f aca="false">Monthly!$D$22</f>
        <v>Salary &amp; load</v>
      </c>
      <c r="F525" s="24" t="str">
        <f aca="false">Monthly!$A$22</f>
        <v>Lab Technician</v>
      </c>
      <c r="G525" s="20" t="n">
        <f aca="false">Monthly!Y$22</f>
        <v>8641.66666666667</v>
      </c>
      <c r="H525" s="24" t="str">
        <f aca="false">ScenarioName</f>
        <v>Base</v>
      </c>
    </row>
    <row r="526" customFormat="false" ht="15" hidden="false" customHeight="false" outlineLevel="0" collapsed="false">
      <c r="A526" s="8" t="n">
        <v>21</v>
      </c>
      <c r="B526" s="39" t="n">
        <f aca="false">EDATE(StartDate,A526-1)</f>
        <v>46997</v>
      </c>
      <c r="C526" s="24" t="str">
        <f aca="false">Monthly!$B$22</f>
        <v>EnergyWave, Inc.</v>
      </c>
      <c r="D526" s="24" t="str">
        <f aca="false">Monthly!$C$22</f>
        <v>Payroll</v>
      </c>
      <c r="E526" s="24" t="str">
        <f aca="false">Monthly!$D$22</f>
        <v>Salary &amp; load</v>
      </c>
      <c r="F526" s="24" t="str">
        <f aca="false">Monthly!$A$22</f>
        <v>Lab Technician</v>
      </c>
      <c r="G526" s="20" t="n">
        <f aca="false">Monthly!Z$22</f>
        <v>8641.66666666667</v>
      </c>
      <c r="H526" s="24" t="str">
        <f aca="false">ScenarioName</f>
        <v>Base</v>
      </c>
    </row>
    <row r="527" customFormat="false" ht="15" hidden="false" customHeight="false" outlineLevel="0" collapsed="false">
      <c r="A527" s="8" t="n">
        <v>22</v>
      </c>
      <c r="B527" s="39" t="n">
        <f aca="false">EDATE(StartDate,A527-1)</f>
        <v>47027</v>
      </c>
      <c r="C527" s="24" t="str">
        <f aca="false">Monthly!$B$22</f>
        <v>EnergyWave, Inc.</v>
      </c>
      <c r="D527" s="24" t="str">
        <f aca="false">Monthly!$C$22</f>
        <v>Payroll</v>
      </c>
      <c r="E527" s="24" t="str">
        <f aca="false">Monthly!$D$22</f>
        <v>Salary &amp; load</v>
      </c>
      <c r="F527" s="24" t="str">
        <f aca="false">Monthly!$A$22</f>
        <v>Lab Technician</v>
      </c>
      <c r="G527" s="20" t="n">
        <f aca="false">Monthly!AA$22</f>
        <v>8641.66666666667</v>
      </c>
      <c r="H527" s="24" t="str">
        <f aca="false">ScenarioName</f>
        <v>Base</v>
      </c>
    </row>
    <row r="528" customFormat="false" ht="15" hidden="false" customHeight="false" outlineLevel="0" collapsed="false">
      <c r="A528" s="8" t="n">
        <v>23</v>
      </c>
      <c r="B528" s="39" t="n">
        <f aca="false">EDATE(StartDate,A528-1)</f>
        <v>47058</v>
      </c>
      <c r="C528" s="24" t="str">
        <f aca="false">Monthly!$B$22</f>
        <v>EnergyWave, Inc.</v>
      </c>
      <c r="D528" s="24" t="str">
        <f aca="false">Monthly!$C$22</f>
        <v>Payroll</v>
      </c>
      <c r="E528" s="24" t="str">
        <f aca="false">Monthly!$D$22</f>
        <v>Salary &amp; load</v>
      </c>
      <c r="F528" s="24" t="str">
        <f aca="false">Monthly!$A$22</f>
        <v>Lab Technician</v>
      </c>
      <c r="G528" s="20" t="n">
        <f aca="false">Monthly!AB$22</f>
        <v>8641.66666666667</v>
      </c>
      <c r="H528" s="24" t="str">
        <f aca="false">ScenarioName</f>
        <v>Base</v>
      </c>
    </row>
    <row r="529" customFormat="false" ht="15" hidden="false" customHeight="false" outlineLevel="0" collapsed="false">
      <c r="A529" s="8" t="n">
        <v>24</v>
      </c>
      <c r="B529" s="39" t="n">
        <f aca="false">EDATE(StartDate,A529-1)</f>
        <v>47088</v>
      </c>
      <c r="C529" s="24" t="str">
        <f aca="false">Monthly!$B$22</f>
        <v>EnergyWave, Inc.</v>
      </c>
      <c r="D529" s="24" t="str">
        <f aca="false">Monthly!$C$22</f>
        <v>Payroll</v>
      </c>
      <c r="E529" s="24" t="str">
        <f aca="false">Monthly!$D$22</f>
        <v>Salary &amp; load</v>
      </c>
      <c r="F529" s="24" t="str">
        <f aca="false">Monthly!$A$22</f>
        <v>Lab Technician</v>
      </c>
      <c r="G529" s="20" t="n">
        <f aca="false">Monthly!AC$22</f>
        <v>8641.66666666667</v>
      </c>
      <c r="H529" s="24" t="str">
        <f aca="false">ScenarioName</f>
        <v>Base</v>
      </c>
    </row>
    <row r="530" customFormat="false" ht="15" hidden="false" customHeight="false" outlineLevel="0" collapsed="false">
      <c r="A530" s="8" t="n">
        <v>25</v>
      </c>
      <c r="B530" s="39" t="n">
        <f aca="false">EDATE(StartDate,A530-1)</f>
        <v>47119</v>
      </c>
      <c r="C530" s="24" t="str">
        <f aca="false">Monthly!$B$22</f>
        <v>EnergyWave, Inc.</v>
      </c>
      <c r="D530" s="24" t="str">
        <f aca="false">Monthly!$C$22</f>
        <v>Payroll</v>
      </c>
      <c r="E530" s="24" t="str">
        <f aca="false">Monthly!$D$22</f>
        <v>Salary &amp; load</v>
      </c>
      <c r="F530" s="24" t="str">
        <f aca="false">Monthly!$A$22</f>
        <v>Lab Technician</v>
      </c>
      <c r="G530" s="20" t="n">
        <f aca="false">Monthly!AD$22</f>
        <v>8641.66666666667</v>
      </c>
      <c r="H530" s="24" t="str">
        <f aca="false">ScenarioName</f>
        <v>Base</v>
      </c>
    </row>
    <row r="531" customFormat="false" ht="15" hidden="false" customHeight="false" outlineLevel="0" collapsed="false">
      <c r="A531" s="8" t="n">
        <v>26</v>
      </c>
      <c r="B531" s="39" t="n">
        <f aca="false">EDATE(StartDate,A531-1)</f>
        <v>47150</v>
      </c>
      <c r="C531" s="24" t="str">
        <f aca="false">Monthly!$B$22</f>
        <v>EnergyWave, Inc.</v>
      </c>
      <c r="D531" s="24" t="str">
        <f aca="false">Monthly!$C$22</f>
        <v>Payroll</v>
      </c>
      <c r="E531" s="24" t="str">
        <f aca="false">Monthly!$D$22</f>
        <v>Salary &amp; load</v>
      </c>
      <c r="F531" s="24" t="str">
        <f aca="false">Monthly!$A$22</f>
        <v>Lab Technician</v>
      </c>
      <c r="G531" s="20" t="n">
        <f aca="false">Monthly!AE$22</f>
        <v>8641.66666666667</v>
      </c>
      <c r="H531" s="24" t="str">
        <f aca="false">ScenarioName</f>
        <v>Base</v>
      </c>
    </row>
    <row r="532" customFormat="false" ht="15" hidden="false" customHeight="false" outlineLevel="0" collapsed="false">
      <c r="A532" s="8" t="n">
        <v>27</v>
      </c>
      <c r="B532" s="39" t="n">
        <f aca="false">EDATE(StartDate,A532-1)</f>
        <v>47178</v>
      </c>
      <c r="C532" s="24" t="str">
        <f aca="false">Monthly!$B$22</f>
        <v>EnergyWave, Inc.</v>
      </c>
      <c r="D532" s="24" t="str">
        <f aca="false">Monthly!$C$22</f>
        <v>Payroll</v>
      </c>
      <c r="E532" s="24" t="str">
        <f aca="false">Monthly!$D$22</f>
        <v>Salary &amp; load</v>
      </c>
      <c r="F532" s="24" t="str">
        <f aca="false">Monthly!$A$22</f>
        <v>Lab Technician</v>
      </c>
      <c r="G532" s="20" t="n">
        <f aca="false">Monthly!AF$22</f>
        <v>8641.66666666667</v>
      </c>
      <c r="H532" s="24" t="str">
        <f aca="false">ScenarioName</f>
        <v>Base</v>
      </c>
    </row>
    <row r="533" customFormat="false" ht="15" hidden="false" customHeight="false" outlineLevel="0" collapsed="false">
      <c r="A533" s="8" t="n">
        <v>28</v>
      </c>
      <c r="B533" s="39" t="n">
        <f aca="false">EDATE(StartDate,A533-1)</f>
        <v>47209</v>
      </c>
      <c r="C533" s="24" t="str">
        <f aca="false">Monthly!$B$22</f>
        <v>EnergyWave, Inc.</v>
      </c>
      <c r="D533" s="24" t="str">
        <f aca="false">Monthly!$C$22</f>
        <v>Payroll</v>
      </c>
      <c r="E533" s="24" t="str">
        <f aca="false">Monthly!$D$22</f>
        <v>Salary &amp; load</v>
      </c>
      <c r="F533" s="24" t="str">
        <f aca="false">Monthly!$A$22</f>
        <v>Lab Technician</v>
      </c>
      <c r="G533" s="20" t="n">
        <f aca="false">Monthly!AG$22</f>
        <v>8641.66666666667</v>
      </c>
      <c r="H533" s="24" t="str">
        <f aca="false">ScenarioName</f>
        <v>Base</v>
      </c>
    </row>
    <row r="534" customFormat="false" ht="15" hidden="false" customHeight="false" outlineLevel="0" collapsed="false">
      <c r="A534" s="8" t="n">
        <v>29</v>
      </c>
      <c r="B534" s="39" t="n">
        <f aca="false">EDATE(StartDate,A534-1)</f>
        <v>47239</v>
      </c>
      <c r="C534" s="24" t="str">
        <f aca="false">Monthly!$B$22</f>
        <v>EnergyWave, Inc.</v>
      </c>
      <c r="D534" s="24" t="str">
        <f aca="false">Monthly!$C$22</f>
        <v>Payroll</v>
      </c>
      <c r="E534" s="24" t="str">
        <f aca="false">Monthly!$D$22</f>
        <v>Salary &amp; load</v>
      </c>
      <c r="F534" s="24" t="str">
        <f aca="false">Monthly!$A$22</f>
        <v>Lab Technician</v>
      </c>
      <c r="G534" s="20" t="n">
        <f aca="false">Monthly!AH$22</f>
        <v>8641.66666666667</v>
      </c>
      <c r="H534" s="24" t="str">
        <f aca="false">ScenarioName</f>
        <v>Base</v>
      </c>
    </row>
    <row r="535" customFormat="false" ht="15" hidden="false" customHeight="false" outlineLevel="0" collapsed="false">
      <c r="A535" s="8" t="n">
        <v>30</v>
      </c>
      <c r="B535" s="39" t="n">
        <f aca="false">EDATE(StartDate,A535-1)</f>
        <v>47270</v>
      </c>
      <c r="C535" s="24" t="str">
        <f aca="false">Monthly!$B$22</f>
        <v>EnergyWave, Inc.</v>
      </c>
      <c r="D535" s="24" t="str">
        <f aca="false">Monthly!$C$22</f>
        <v>Payroll</v>
      </c>
      <c r="E535" s="24" t="str">
        <f aca="false">Monthly!$D$22</f>
        <v>Salary &amp; load</v>
      </c>
      <c r="F535" s="24" t="str">
        <f aca="false">Monthly!$A$22</f>
        <v>Lab Technician</v>
      </c>
      <c r="G535" s="20" t="n">
        <f aca="false">Monthly!AI$22</f>
        <v>8641.66666666667</v>
      </c>
      <c r="H535" s="24" t="str">
        <f aca="false">ScenarioName</f>
        <v>Base</v>
      </c>
    </row>
    <row r="536" customFormat="false" ht="15" hidden="false" customHeight="false" outlineLevel="0" collapsed="false">
      <c r="A536" s="8" t="n">
        <v>31</v>
      </c>
      <c r="B536" s="39" t="n">
        <f aca="false">EDATE(StartDate,A536-1)</f>
        <v>47300</v>
      </c>
      <c r="C536" s="24" t="str">
        <f aca="false">Monthly!$B$22</f>
        <v>EnergyWave, Inc.</v>
      </c>
      <c r="D536" s="24" t="str">
        <f aca="false">Monthly!$C$22</f>
        <v>Payroll</v>
      </c>
      <c r="E536" s="24" t="str">
        <f aca="false">Monthly!$D$22</f>
        <v>Salary &amp; load</v>
      </c>
      <c r="F536" s="24" t="str">
        <f aca="false">Monthly!$A$22</f>
        <v>Lab Technician</v>
      </c>
      <c r="G536" s="20" t="n">
        <f aca="false">Monthly!AJ$22</f>
        <v>8641.66666666667</v>
      </c>
      <c r="H536" s="24" t="str">
        <f aca="false">ScenarioName</f>
        <v>Base</v>
      </c>
    </row>
    <row r="537" customFormat="false" ht="15" hidden="false" customHeight="false" outlineLevel="0" collapsed="false">
      <c r="A537" s="8" t="n">
        <v>32</v>
      </c>
      <c r="B537" s="39" t="n">
        <f aca="false">EDATE(StartDate,A537-1)</f>
        <v>47331</v>
      </c>
      <c r="C537" s="24" t="str">
        <f aca="false">Monthly!$B$22</f>
        <v>EnergyWave, Inc.</v>
      </c>
      <c r="D537" s="24" t="str">
        <f aca="false">Monthly!$C$22</f>
        <v>Payroll</v>
      </c>
      <c r="E537" s="24" t="str">
        <f aca="false">Monthly!$D$22</f>
        <v>Salary &amp; load</v>
      </c>
      <c r="F537" s="24" t="str">
        <f aca="false">Monthly!$A$22</f>
        <v>Lab Technician</v>
      </c>
      <c r="G537" s="20" t="n">
        <f aca="false">Monthly!AK$22</f>
        <v>8641.66666666667</v>
      </c>
      <c r="H537" s="24" t="str">
        <f aca="false">ScenarioName</f>
        <v>Base</v>
      </c>
    </row>
    <row r="538" customFormat="false" ht="15" hidden="false" customHeight="false" outlineLevel="0" collapsed="false">
      <c r="A538" s="8" t="n">
        <v>33</v>
      </c>
      <c r="B538" s="39" t="n">
        <f aca="false">EDATE(StartDate,A538-1)</f>
        <v>47362</v>
      </c>
      <c r="C538" s="24" t="str">
        <f aca="false">Monthly!$B$22</f>
        <v>EnergyWave, Inc.</v>
      </c>
      <c r="D538" s="24" t="str">
        <f aca="false">Monthly!$C$22</f>
        <v>Payroll</v>
      </c>
      <c r="E538" s="24" t="str">
        <f aca="false">Monthly!$D$22</f>
        <v>Salary &amp; load</v>
      </c>
      <c r="F538" s="24" t="str">
        <f aca="false">Monthly!$A$22</f>
        <v>Lab Technician</v>
      </c>
      <c r="G538" s="20" t="n">
        <f aca="false">Monthly!AL$22</f>
        <v>8641.66666666667</v>
      </c>
      <c r="H538" s="24" t="str">
        <f aca="false">ScenarioName</f>
        <v>Base</v>
      </c>
    </row>
    <row r="539" customFormat="false" ht="15" hidden="false" customHeight="false" outlineLevel="0" collapsed="false">
      <c r="A539" s="8" t="n">
        <v>34</v>
      </c>
      <c r="B539" s="39" t="n">
        <f aca="false">EDATE(StartDate,A539-1)</f>
        <v>47392</v>
      </c>
      <c r="C539" s="24" t="str">
        <f aca="false">Monthly!$B$22</f>
        <v>EnergyWave, Inc.</v>
      </c>
      <c r="D539" s="24" t="str">
        <f aca="false">Monthly!$C$22</f>
        <v>Payroll</v>
      </c>
      <c r="E539" s="24" t="str">
        <f aca="false">Monthly!$D$22</f>
        <v>Salary &amp; load</v>
      </c>
      <c r="F539" s="24" t="str">
        <f aca="false">Monthly!$A$22</f>
        <v>Lab Technician</v>
      </c>
      <c r="G539" s="20" t="n">
        <f aca="false">Monthly!AM$22</f>
        <v>8641.66666666667</v>
      </c>
      <c r="H539" s="24" t="str">
        <f aca="false">ScenarioName</f>
        <v>Base</v>
      </c>
    </row>
    <row r="540" customFormat="false" ht="15" hidden="false" customHeight="false" outlineLevel="0" collapsed="false">
      <c r="A540" s="8" t="n">
        <v>35</v>
      </c>
      <c r="B540" s="39" t="n">
        <f aca="false">EDATE(StartDate,A540-1)</f>
        <v>47423</v>
      </c>
      <c r="C540" s="24" t="str">
        <f aca="false">Monthly!$B$22</f>
        <v>EnergyWave, Inc.</v>
      </c>
      <c r="D540" s="24" t="str">
        <f aca="false">Monthly!$C$22</f>
        <v>Payroll</v>
      </c>
      <c r="E540" s="24" t="str">
        <f aca="false">Monthly!$D$22</f>
        <v>Salary &amp; load</v>
      </c>
      <c r="F540" s="24" t="str">
        <f aca="false">Monthly!$A$22</f>
        <v>Lab Technician</v>
      </c>
      <c r="G540" s="20" t="n">
        <f aca="false">Monthly!AN$22</f>
        <v>8641.66666666667</v>
      </c>
      <c r="H540" s="24" t="str">
        <f aca="false">ScenarioName</f>
        <v>Base</v>
      </c>
    </row>
    <row r="541" customFormat="false" ht="15" hidden="false" customHeight="false" outlineLevel="0" collapsed="false">
      <c r="A541" s="8" t="n">
        <v>36</v>
      </c>
      <c r="B541" s="39" t="n">
        <f aca="false">EDATE(StartDate,A541-1)</f>
        <v>47453</v>
      </c>
      <c r="C541" s="24" t="str">
        <f aca="false">Monthly!$B$22</f>
        <v>EnergyWave, Inc.</v>
      </c>
      <c r="D541" s="24" t="str">
        <f aca="false">Monthly!$C$22</f>
        <v>Payroll</v>
      </c>
      <c r="E541" s="24" t="str">
        <f aca="false">Monthly!$D$22</f>
        <v>Salary &amp; load</v>
      </c>
      <c r="F541" s="24" t="str">
        <f aca="false">Monthly!$A$22</f>
        <v>Lab Technician</v>
      </c>
      <c r="G541" s="20" t="n">
        <f aca="false">Monthly!AO$22</f>
        <v>8641.66666666667</v>
      </c>
      <c r="H541" s="24" t="str">
        <f aca="false">ScenarioName</f>
        <v>Base</v>
      </c>
    </row>
    <row r="542" customFormat="false" ht="15" hidden="false" customHeight="false" outlineLevel="0" collapsed="false">
      <c r="A542" s="8" t="n">
        <v>1</v>
      </c>
      <c r="B542" s="39" t="n">
        <f aca="false">EDATE(StartDate,A542-1)</f>
        <v>46388</v>
      </c>
      <c r="C542" s="24" t="str">
        <f aca="false">Monthly!$B$23</f>
        <v>EnergyWave, Inc.</v>
      </c>
      <c r="D542" s="24" t="str">
        <f aca="false">Monthly!$C$23</f>
        <v>Payroll</v>
      </c>
      <c r="E542" s="24" t="str">
        <f aca="false">Monthly!$D$23</f>
        <v>Salary &amp; load</v>
      </c>
      <c r="F542" s="24" t="str">
        <f aca="false">Monthly!$A$23</f>
        <v>Executive Assistant</v>
      </c>
      <c r="G542" s="20" t="n">
        <f aca="false">Monthly!F$23</f>
        <v>8641.66666666667</v>
      </c>
      <c r="H542" s="24" t="str">
        <f aca="false">ScenarioName</f>
        <v>Base</v>
      </c>
    </row>
    <row r="543" customFormat="false" ht="15" hidden="false" customHeight="false" outlineLevel="0" collapsed="false">
      <c r="A543" s="8" t="n">
        <v>2</v>
      </c>
      <c r="B543" s="39" t="n">
        <f aca="false">EDATE(StartDate,A543-1)</f>
        <v>46419</v>
      </c>
      <c r="C543" s="24" t="str">
        <f aca="false">Monthly!$B$23</f>
        <v>EnergyWave, Inc.</v>
      </c>
      <c r="D543" s="24" t="str">
        <f aca="false">Monthly!$C$23</f>
        <v>Payroll</v>
      </c>
      <c r="E543" s="24" t="str">
        <f aca="false">Monthly!$D$23</f>
        <v>Salary &amp; load</v>
      </c>
      <c r="F543" s="24" t="str">
        <f aca="false">Monthly!$A$23</f>
        <v>Executive Assistant</v>
      </c>
      <c r="G543" s="20" t="n">
        <f aca="false">Monthly!G$23</f>
        <v>8641.66666666667</v>
      </c>
      <c r="H543" s="24" t="str">
        <f aca="false">ScenarioName</f>
        <v>Base</v>
      </c>
    </row>
    <row r="544" customFormat="false" ht="15" hidden="false" customHeight="false" outlineLevel="0" collapsed="false">
      <c r="A544" s="8" t="n">
        <v>3</v>
      </c>
      <c r="B544" s="39" t="n">
        <f aca="false">EDATE(StartDate,A544-1)</f>
        <v>46447</v>
      </c>
      <c r="C544" s="24" t="str">
        <f aca="false">Monthly!$B$23</f>
        <v>EnergyWave, Inc.</v>
      </c>
      <c r="D544" s="24" t="str">
        <f aca="false">Monthly!$C$23</f>
        <v>Payroll</v>
      </c>
      <c r="E544" s="24" t="str">
        <f aca="false">Monthly!$D$23</f>
        <v>Salary &amp; load</v>
      </c>
      <c r="F544" s="24" t="str">
        <f aca="false">Monthly!$A$23</f>
        <v>Executive Assistant</v>
      </c>
      <c r="G544" s="20" t="n">
        <f aca="false">Monthly!H$23</f>
        <v>8641.66666666667</v>
      </c>
      <c r="H544" s="24" t="str">
        <f aca="false">ScenarioName</f>
        <v>Base</v>
      </c>
    </row>
    <row r="545" customFormat="false" ht="15" hidden="false" customHeight="false" outlineLevel="0" collapsed="false">
      <c r="A545" s="8" t="n">
        <v>4</v>
      </c>
      <c r="B545" s="39" t="n">
        <f aca="false">EDATE(StartDate,A545-1)</f>
        <v>46478</v>
      </c>
      <c r="C545" s="24" t="str">
        <f aca="false">Monthly!$B$23</f>
        <v>EnergyWave, Inc.</v>
      </c>
      <c r="D545" s="24" t="str">
        <f aca="false">Monthly!$C$23</f>
        <v>Payroll</v>
      </c>
      <c r="E545" s="24" t="str">
        <f aca="false">Monthly!$D$23</f>
        <v>Salary &amp; load</v>
      </c>
      <c r="F545" s="24" t="str">
        <f aca="false">Monthly!$A$23</f>
        <v>Executive Assistant</v>
      </c>
      <c r="G545" s="20" t="n">
        <f aca="false">Monthly!I$23</f>
        <v>8641.66666666667</v>
      </c>
      <c r="H545" s="24" t="str">
        <f aca="false">ScenarioName</f>
        <v>Base</v>
      </c>
    </row>
    <row r="546" customFormat="false" ht="15" hidden="false" customHeight="false" outlineLevel="0" collapsed="false">
      <c r="A546" s="8" t="n">
        <v>5</v>
      </c>
      <c r="B546" s="39" t="n">
        <f aca="false">EDATE(StartDate,A546-1)</f>
        <v>46508</v>
      </c>
      <c r="C546" s="24" t="str">
        <f aca="false">Monthly!$B$23</f>
        <v>EnergyWave, Inc.</v>
      </c>
      <c r="D546" s="24" t="str">
        <f aca="false">Monthly!$C$23</f>
        <v>Payroll</v>
      </c>
      <c r="E546" s="24" t="str">
        <f aca="false">Monthly!$D$23</f>
        <v>Salary &amp; load</v>
      </c>
      <c r="F546" s="24" t="str">
        <f aca="false">Monthly!$A$23</f>
        <v>Executive Assistant</v>
      </c>
      <c r="G546" s="20" t="n">
        <f aca="false">Monthly!J$23</f>
        <v>8641.66666666667</v>
      </c>
      <c r="H546" s="24" t="str">
        <f aca="false">ScenarioName</f>
        <v>Base</v>
      </c>
    </row>
    <row r="547" customFormat="false" ht="15" hidden="false" customHeight="false" outlineLevel="0" collapsed="false">
      <c r="A547" s="8" t="n">
        <v>6</v>
      </c>
      <c r="B547" s="39" t="n">
        <f aca="false">EDATE(StartDate,A547-1)</f>
        <v>46539</v>
      </c>
      <c r="C547" s="24" t="str">
        <f aca="false">Monthly!$B$23</f>
        <v>EnergyWave, Inc.</v>
      </c>
      <c r="D547" s="24" t="str">
        <f aca="false">Monthly!$C$23</f>
        <v>Payroll</v>
      </c>
      <c r="E547" s="24" t="str">
        <f aca="false">Monthly!$D$23</f>
        <v>Salary &amp; load</v>
      </c>
      <c r="F547" s="24" t="str">
        <f aca="false">Monthly!$A$23</f>
        <v>Executive Assistant</v>
      </c>
      <c r="G547" s="20" t="n">
        <f aca="false">Monthly!K$23</f>
        <v>8641.66666666667</v>
      </c>
      <c r="H547" s="24" t="str">
        <f aca="false">ScenarioName</f>
        <v>Base</v>
      </c>
    </row>
    <row r="548" customFormat="false" ht="15" hidden="false" customHeight="false" outlineLevel="0" collapsed="false">
      <c r="A548" s="8" t="n">
        <v>7</v>
      </c>
      <c r="B548" s="39" t="n">
        <f aca="false">EDATE(StartDate,A548-1)</f>
        <v>46569</v>
      </c>
      <c r="C548" s="24" t="str">
        <f aca="false">Monthly!$B$23</f>
        <v>EnergyWave, Inc.</v>
      </c>
      <c r="D548" s="24" t="str">
        <f aca="false">Monthly!$C$23</f>
        <v>Payroll</v>
      </c>
      <c r="E548" s="24" t="str">
        <f aca="false">Monthly!$D$23</f>
        <v>Salary &amp; load</v>
      </c>
      <c r="F548" s="24" t="str">
        <f aca="false">Monthly!$A$23</f>
        <v>Executive Assistant</v>
      </c>
      <c r="G548" s="20" t="n">
        <f aca="false">Monthly!L$23</f>
        <v>8641.66666666667</v>
      </c>
      <c r="H548" s="24" t="str">
        <f aca="false">ScenarioName</f>
        <v>Base</v>
      </c>
    </row>
    <row r="549" customFormat="false" ht="15" hidden="false" customHeight="false" outlineLevel="0" collapsed="false">
      <c r="A549" s="8" t="n">
        <v>8</v>
      </c>
      <c r="B549" s="39" t="n">
        <f aca="false">EDATE(StartDate,A549-1)</f>
        <v>46600</v>
      </c>
      <c r="C549" s="24" t="str">
        <f aca="false">Monthly!$B$23</f>
        <v>EnergyWave, Inc.</v>
      </c>
      <c r="D549" s="24" t="str">
        <f aca="false">Monthly!$C$23</f>
        <v>Payroll</v>
      </c>
      <c r="E549" s="24" t="str">
        <f aca="false">Monthly!$D$23</f>
        <v>Salary &amp; load</v>
      </c>
      <c r="F549" s="24" t="str">
        <f aca="false">Monthly!$A$23</f>
        <v>Executive Assistant</v>
      </c>
      <c r="G549" s="20" t="n">
        <f aca="false">Monthly!M$23</f>
        <v>8641.66666666667</v>
      </c>
      <c r="H549" s="24" t="str">
        <f aca="false">ScenarioName</f>
        <v>Base</v>
      </c>
    </row>
    <row r="550" customFormat="false" ht="15" hidden="false" customHeight="false" outlineLevel="0" collapsed="false">
      <c r="A550" s="8" t="n">
        <v>9</v>
      </c>
      <c r="B550" s="39" t="n">
        <f aca="false">EDATE(StartDate,A550-1)</f>
        <v>46631</v>
      </c>
      <c r="C550" s="24" t="str">
        <f aca="false">Monthly!$B$23</f>
        <v>EnergyWave, Inc.</v>
      </c>
      <c r="D550" s="24" t="str">
        <f aca="false">Monthly!$C$23</f>
        <v>Payroll</v>
      </c>
      <c r="E550" s="24" t="str">
        <f aca="false">Monthly!$D$23</f>
        <v>Salary &amp; load</v>
      </c>
      <c r="F550" s="24" t="str">
        <f aca="false">Monthly!$A$23</f>
        <v>Executive Assistant</v>
      </c>
      <c r="G550" s="20" t="n">
        <f aca="false">Monthly!N$23</f>
        <v>8641.66666666667</v>
      </c>
      <c r="H550" s="24" t="str">
        <f aca="false">ScenarioName</f>
        <v>Base</v>
      </c>
    </row>
    <row r="551" customFormat="false" ht="15" hidden="false" customHeight="false" outlineLevel="0" collapsed="false">
      <c r="A551" s="8" t="n">
        <v>10</v>
      </c>
      <c r="B551" s="39" t="n">
        <f aca="false">EDATE(StartDate,A551-1)</f>
        <v>46661</v>
      </c>
      <c r="C551" s="24" t="str">
        <f aca="false">Monthly!$B$23</f>
        <v>EnergyWave, Inc.</v>
      </c>
      <c r="D551" s="24" t="str">
        <f aca="false">Monthly!$C$23</f>
        <v>Payroll</v>
      </c>
      <c r="E551" s="24" t="str">
        <f aca="false">Monthly!$D$23</f>
        <v>Salary &amp; load</v>
      </c>
      <c r="F551" s="24" t="str">
        <f aca="false">Monthly!$A$23</f>
        <v>Executive Assistant</v>
      </c>
      <c r="G551" s="20" t="n">
        <f aca="false">Monthly!O$23</f>
        <v>8641.66666666667</v>
      </c>
      <c r="H551" s="24" t="str">
        <f aca="false">ScenarioName</f>
        <v>Base</v>
      </c>
    </row>
    <row r="552" customFormat="false" ht="15" hidden="false" customHeight="false" outlineLevel="0" collapsed="false">
      <c r="A552" s="8" t="n">
        <v>11</v>
      </c>
      <c r="B552" s="39" t="n">
        <f aca="false">EDATE(StartDate,A552-1)</f>
        <v>46692</v>
      </c>
      <c r="C552" s="24" t="str">
        <f aca="false">Monthly!$B$23</f>
        <v>EnergyWave, Inc.</v>
      </c>
      <c r="D552" s="24" t="str">
        <f aca="false">Monthly!$C$23</f>
        <v>Payroll</v>
      </c>
      <c r="E552" s="24" t="str">
        <f aca="false">Monthly!$D$23</f>
        <v>Salary &amp; load</v>
      </c>
      <c r="F552" s="24" t="str">
        <f aca="false">Monthly!$A$23</f>
        <v>Executive Assistant</v>
      </c>
      <c r="G552" s="20" t="n">
        <f aca="false">Monthly!P$23</f>
        <v>8641.66666666667</v>
      </c>
      <c r="H552" s="24" t="str">
        <f aca="false">ScenarioName</f>
        <v>Base</v>
      </c>
    </row>
    <row r="553" customFormat="false" ht="15" hidden="false" customHeight="false" outlineLevel="0" collapsed="false">
      <c r="A553" s="8" t="n">
        <v>12</v>
      </c>
      <c r="B553" s="39" t="n">
        <f aca="false">EDATE(StartDate,A553-1)</f>
        <v>46722</v>
      </c>
      <c r="C553" s="24" t="str">
        <f aca="false">Monthly!$B$23</f>
        <v>EnergyWave, Inc.</v>
      </c>
      <c r="D553" s="24" t="str">
        <f aca="false">Monthly!$C$23</f>
        <v>Payroll</v>
      </c>
      <c r="E553" s="24" t="str">
        <f aca="false">Monthly!$D$23</f>
        <v>Salary &amp; load</v>
      </c>
      <c r="F553" s="24" t="str">
        <f aca="false">Monthly!$A$23</f>
        <v>Executive Assistant</v>
      </c>
      <c r="G553" s="20" t="n">
        <f aca="false">Monthly!Q$23</f>
        <v>8641.66666666667</v>
      </c>
      <c r="H553" s="24" t="str">
        <f aca="false">ScenarioName</f>
        <v>Base</v>
      </c>
    </row>
    <row r="554" customFormat="false" ht="15" hidden="false" customHeight="false" outlineLevel="0" collapsed="false">
      <c r="A554" s="8" t="n">
        <v>13</v>
      </c>
      <c r="B554" s="39" t="n">
        <f aca="false">EDATE(StartDate,A554-1)</f>
        <v>46753</v>
      </c>
      <c r="C554" s="24" t="str">
        <f aca="false">Monthly!$B$23</f>
        <v>EnergyWave, Inc.</v>
      </c>
      <c r="D554" s="24" t="str">
        <f aca="false">Monthly!$C$23</f>
        <v>Payroll</v>
      </c>
      <c r="E554" s="24" t="str">
        <f aca="false">Monthly!$D$23</f>
        <v>Salary &amp; load</v>
      </c>
      <c r="F554" s="24" t="str">
        <f aca="false">Monthly!$A$23</f>
        <v>Executive Assistant</v>
      </c>
      <c r="G554" s="20" t="n">
        <f aca="false">Monthly!R$23</f>
        <v>8641.66666666667</v>
      </c>
      <c r="H554" s="24" t="str">
        <f aca="false">ScenarioName</f>
        <v>Base</v>
      </c>
    </row>
    <row r="555" customFormat="false" ht="15" hidden="false" customHeight="false" outlineLevel="0" collapsed="false">
      <c r="A555" s="8" t="n">
        <v>14</v>
      </c>
      <c r="B555" s="39" t="n">
        <f aca="false">EDATE(StartDate,A555-1)</f>
        <v>46784</v>
      </c>
      <c r="C555" s="24" t="str">
        <f aca="false">Monthly!$B$23</f>
        <v>EnergyWave, Inc.</v>
      </c>
      <c r="D555" s="24" t="str">
        <f aca="false">Monthly!$C$23</f>
        <v>Payroll</v>
      </c>
      <c r="E555" s="24" t="str">
        <f aca="false">Monthly!$D$23</f>
        <v>Salary &amp; load</v>
      </c>
      <c r="F555" s="24" t="str">
        <f aca="false">Monthly!$A$23</f>
        <v>Executive Assistant</v>
      </c>
      <c r="G555" s="20" t="n">
        <f aca="false">Monthly!S$23</f>
        <v>8641.66666666667</v>
      </c>
      <c r="H555" s="24" t="str">
        <f aca="false">ScenarioName</f>
        <v>Base</v>
      </c>
    </row>
    <row r="556" customFormat="false" ht="15" hidden="false" customHeight="false" outlineLevel="0" collapsed="false">
      <c r="A556" s="8" t="n">
        <v>15</v>
      </c>
      <c r="B556" s="39" t="n">
        <f aca="false">EDATE(StartDate,A556-1)</f>
        <v>46813</v>
      </c>
      <c r="C556" s="24" t="str">
        <f aca="false">Monthly!$B$23</f>
        <v>EnergyWave, Inc.</v>
      </c>
      <c r="D556" s="24" t="str">
        <f aca="false">Monthly!$C$23</f>
        <v>Payroll</v>
      </c>
      <c r="E556" s="24" t="str">
        <f aca="false">Monthly!$D$23</f>
        <v>Salary &amp; load</v>
      </c>
      <c r="F556" s="24" t="str">
        <f aca="false">Monthly!$A$23</f>
        <v>Executive Assistant</v>
      </c>
      <c r="G556" s="20" t="n">
        <f aca="false">Monthly!T$23</f>
        <v>8641.66666666667</v>
      </c>
      <c r="H556" s="24" t="str">
        <f aca="false">ScenarioName</f>
        <v>Base</v>
      </c>
    </row>
    <row r="557" customFormat="false" ht="15" hidden="false" customHeight="false" outlineLevel="0" collapsed="false">
      <c r="A557" s="8" t="n">
        <v>16</v>
      </c>
      <c r="B557" s="39" t="n">
        <f aca="false">EDATE(StartDate,A557-1)</f>
        <v>46844</v>
      </c>
      <c r="C557" s="24" t="str">
        <f aca="false">Monthly!$B$23</f>
        <v>EnergyWave, Inc.</v>
      </c>
      <c r="D557" s="24" t="str">
        <f aca="false">Monthly!$C$23</f>
        <v>Payroll</v>
      </c>
      <c r="E557" s="24" t="str">
        <f aca="false">Monthly!$D$23</f>
        <v>Salary &amp; load</v>
      </c>
      <c r="F557" s="24" t="str">
        <f aca="false">Monthly!$A$23</f>
        <v>Executive Assistant</v>
      </c>
      <c r="G557" s="20" t="n">
        <f aca="false">Monthly!U$23</f>
        <v>8641.66666666667</v>
      </c>
      <c r="H557" s="24" t="str">
        <f aca="false">ScenarioName</f>
        <v>Base</v>
      </c>
    </row>
    <row r="558" customFormat="false" ht="15" hidden="false" customHeight="false" outlineLevel="0" collapsed="false">
      <c r="A558" s="8" t="n">
        <v>17</v>
      </c>
      <c r="B558" s="39" t="n">
        <f aca="false">EDATE(StartDate,A558-1)</f>
        <v>46874</v>
      </c>
      <c r="C558" s="24" t="str">
        <f aca="false">Monthly!$B$23</f>
        <v>EnergyWave, Inc.</v>
      </c>
      <c r="D558" s="24" t="str">
        <f aca="false">Monthly!$C$23</f>
        <v>Payroll</v>
      </c>
      <c r="E558" s="24" t="str">
        <f aca="false">Monthly!$D$23</f>
        <v>Salary &amp; load</v>
      </c>
      <c r="F558" s="24" t="str">
        <f aca="false">Monthly!$A$23</f>
        <v>Executive Assistant</v>
      </c>
      <c r="G558" s="20" t="n">
        <f aca="false">Monthly!V$23</f>
        <v>8641.66666666667</v>
      </c>
      <c r="H558" s="24" t="str">
        <f aca="false">ScenarioName</f>
        <v>Base</v>
      </c>
    </row>
    <row r="559" customFormat="false" ht="15" hidden="false" customHeight="false" outlineLevel="0" collapsed="false">
      <c r="A559" s="8" t="n">
        <v>18</v>
      </c>
      <c r="B559" s="39" t="n">
        <f aca="false">EDATE(StartDate,A559-1)</f>
        <v>46905</v>
      </c>
      <c r="C559" s="24" t="str">
        <f aca="false">Monthly!$B$23</f>
        <v>EnergyWave, Inc.</v>
      </c>
      <c r="D559" s="24" t="str">
        <f aca="false">Monthly!$C$23</f>
        <v>Payroll</v>
      </c>
      <c r="E559" s="24" t="str">
        <f aca="false">Monthly!$D$23</f>
        <v>Salary &amp; load</v>
      </c>
      <c r="F559" s="24" t="str">
        <f aca="false">Monthly!$A$23</f>
        <v>Executive Assistant</v>
      </c>
      <c r="G559" s="20" t="n">
        <f aca="false">Monthly!W$23</f>
        <v>8641.66666666667</v>
      </c>
      <c r="H559" s="24" t="str">
        <f aca="false">ScenarioName</f>
        <v>Base</v>
      </c>
    </row>
    <row r="560" customFormat="false" ht="15" hidden="false" customHeight="false" outlineLevel="0" collapsed="false">
      <c r="A560" s="8" t="n">
        <v>19</v>
      </c>
      <c r="B560" s="39" t="n">
        <f aca="false">EDATE(StartDate,A560-1)</f>
        <v>46935</v>
      </c>
      <c r="C560" s="24" t="str">
        <f aca="false">Monthly!$B$23</f>
        <v>EnergyWave, Inc.</v>
      </c>
      <c r="D560" s="24" t="str">
        <f aca="false">Monthly!$C$23</f>
        <v>Payroll</v>
      </c>
      <c r="E560" s="24" t="str">
        <f aca="false">Monthly!$D$23</f>
        <v>Salary &amp; load</v>
      </c>
      <c r="F560" s="24" t="str">
        <f aca="false">Monthly!$A$23</f>
        <v>Executive Assistant</v>
      </c>
      <c r="G560" s="20" t="n">
        <f aca="false">Monthly!X$23</f>
        <v>8641.66666666667</v>
      </c>
      <c r="H560" s="24" t="str">
        <f aca="false">ScenarioName</f>
        <v>Base</v>
      </c>
    </row>
    <row r="561" customFormat="false" ht="15" hidden="false" customHeight="false" outlineLevel="0" collapsed="false">
      <c r="A561" s="8" t="n">
        <v>20</v>
      </c>
      <c r="B561" s="39" t="n">
        <f aca="false">EDATE(StartDate,A561-1)</f>
        <v>46966</v>
      </c>
      <c r="C561" s="24" t="str">
        <f aca="false">Monthly!$B$23</f>
        <v>EnergyWave, Inc.</v>
      </c>
      <c r="D561" s="24" t="str">
        <f aca="false">Monthly!$C$23</f>
        <v>Payroll</v>
      </c>
      <c r="E561" s="24" t="str">
        <f aca="false">Monthly!$D$23</f>
        <v>Salary &amp; load</v>
      </c>
      <c r="F561" s="24" t="str">
        <f aca="false">Monthly!$A$23</f>
        <v>Executive Assistant</v>
      </c>
      <c r="G561" s="20" t="n">
        <f aca="false">Monthly!Y$23</f>
        <v>8641.66666666667</v>
      </c>
      <c r="H561" s="24" t="str">
        <f aca="false">ScenarioName</f>
        <v>Base</v>
      </c>
    </row>
    <row r="562" customFormat="false" ht="15" hidden="false" customHeight="false" outlineLevel="0" collapsed="false">
      <c r="A562" s="8" t="n">
        <v>21</v>
      </c>
      <c r="B562" s="39" t="n">
        <f aca="false">EDATE(StartDate,A562-1)</f>
        <v>46997</v>
      </c>
      <c r="C562" s="24" t="str">
        <f aca="false">Monthly!$B$23</f>
        <v>EnergyWave, Inc.</v>
      </c>
      <c r="D562" s="24" t="str">
        <f aca="false">Monthly!$C$23</f>
        <v>Payroll</v>
      </c>
      <c r="E562" s="24" t="str">
        <f aca="false">Monthly!$D$23</f>
        <v>Salary &amp; load</v>
      </c>
      <c r="F562" s="24" t="str">
        <f aca="false">Monthly!$A$23</f>
        <v>Executive Assistant</v>
      </c>
      <c r="G562" s="20" t="n">
        <f aca="false">Monthly!Z$23</f>
        <v>8641.66666666667</v>
      </c>
      <c r="H562" s="24" t="str">
        <f aca="false">ScenarioName</f>
        <v>Base</v>
      </c>
    </row>
    <row r="563" customFormat="false" ht="15" hidden="false" customHeight="false" outlineLevel="0" collapsed="false">
      <c r="A563" s="8" t="n">
        <v>22</v>
      </c>
      <c r="B563" s="39" t="n">
        <f aca="false">EDATE(StartDate,A563-1)</f>
        <v>47027</v>
      </c>
      <c r="C563" s="24" t="str">
        <f aca="false">Monthly!$B$23</f>
        <v>EnergyWave, Inc.</v>
      </c>
      <c r="D563" s="24" t="str">
        <f aca="false">Monthly!$C$23</f>
        <v>Payroll</v>
      </c>
      <c r="E563" s="24" t="str">
        <f aca="false">Monthly!$D$23</f>
        <v>Salary &amp; load</v>
      </c>
      <c r="F563" s="24" t="str">
        <f aca="false">Monthly!$A$23</f>
        <v>Executive Assistant</v>
      </c>
      <c r="G563" s="20" t="n">
        <f aca="false">Monthly!AA$23</f>
        <v>8641.66666666667</v>
      </c>
      <c r="H563" s="24" t="str">
        <f aca="false">ScenarioName</f>
        <v>Base</v>
      </c>
    </row>
    <row r="564" customFormat="false" ht="15" hidden="false" customHeight="false" outlineLevel="0" collapsed="false">
      <c r="A564" s="8" t="n">
        <v>23</v>
      </c>
      <c r="B564" s="39" t="n">
        <f aca="false">EDATE(StartDate,A564-1)</f>
        <v>47058</v>
      </c>
      <c r="C564" s="24" t="str">
        <f aca="false">Monthly!$B$23</f>
        <v>EnergyWave, Inc.</v>
      </c>
      <c r="D564" s="24" t="str">
        <f aca="false">Monthly!$C$23</f>
        <v>Payroll</v>
      </c>
      <c r="E564" s="24" t="str">
        <f aca="false">Monthly!$D$23</f>
        <v>Salary &amp; load</v>
      </c>
      <c r="F564" s="24" t="str">
        <f aca="false">Monthly!$A$23</f>
        <v>Executive Assistant</v>
      </c>
      <c r="G564" s="20" t="n">
        <f aca="false">Monthly!AB$23</f>
        <v>8641.66666666667</v>
      </c>
      <c r="H564" s="24" t="str">
        <f aca="false">ScenarioName</f>
        <v>Base</v>
      </c>
    </row>
    <row r="565" customFormat="false" ht="15" hidden="false" customHeight="false" outlineLevel="0" collapsed="false">
      <c r="A565" s="8" t="n">
        <v>24</v>
      </c>
      <c r="B565" s="39" t="n">
        <f aca="false">EDATE(StartDate,A565-1)</f>
        <v>47088</v>
      </c>
      <c r="C565" s="24" t="str">
        <f aca="false">Monthly!$B$23</f>
        <v>EnergyWave, Inc.</v>
      </c>
      <c r="D565" s="24" t="str">
        <f aca="false">Monthly!$C$23</f>
        <v>Payroll</v>
      </c>
      <c r="E565" s="24" t="str">
        <f aca="false">Monthly!$D$23</f>
        <v>Salary &amp; load</v>
      </c>
      <c r="F565" s="24" t="str">
        <f aca="false">Monthly!$A$23</f>
        <v>Executive Assistant</v>
      </c>
      <c r="G565" s="20" t="n">
        <f aca="false">Monthly!AC$23</f>
        <v>8641.66666666667</v>
      </c>
      <c r="H565" s="24" t="str">
        <f aca="false">ScenarioName</f>
        <v>Base</v>
      </c>
    </row>
    <row r="566" customFormat="false" ht="15" hidden="false" customHeight="false" outlineLevel="0" collapsed="false">
      <c r="A566" s="8" t="n">
        <v>25</v>
      </c>
      <c r="B566" s="39" t="n">
        <f aca="false">EDATE(StartDate,A566-1)</f>
        <v>47119</v>
      </c>
      <c r="C566" s="24" t="str">
        <f aca="false">Monthly!$B$23</f>
        <v>EnergyWave, Inc.</v>
      </c>
      <c r="D566" s="24" t="str">
        <f aca="false">Monthly!$C$23</f>
        <v>Payroll</v>
      </c>
      <c r="E566" s="24" t="str">
        <f aca="false">Monthly!$D$23</f>
        <v>Salary &amp; load</v>
      </c>
      <c r="F566" s="24" t="str">
        <f aca="false">Monthly!$A$23</f>
        <v>Executive Assistant</v>
      </c>
      <c r="G566" s="20" t="n">
        <f aca="false">Monthly!AD$23</f>
        <v>8641.66666666667</v>
      </c>
      <c r="H566" s="24" t="str">
        <f aca="false">ScenarioName</f>
        <v>Base</v>
      </c>
    </row>
    <row r="567" customFormat="false" ht="15" hidden="false" customHeight="false" outlineLevel="0" collapsed="false">
      <c r="A567" s="8" t="n">
        <v>26</v>
      </c>
      <c r="B567" s="39" t="n">
        <f aca="false">EDATE(StartDate,A567-1)</f>
        <v>47150</v>
      </c>
      <c r="C567" s="24" t="str">
        <f aca="false">Monthly!$B$23</f>
        <v>EnergyWave, Inc.</v>
      </c>
      <c r="D567" s="24" t="str">
        <f aca="false">Monthly!$C$23</f>
        <v>Payroll</v>
      </c>
      <c r="E567" s="24" t="str">
        <f aca="false">Monthly!$D$23</f>
        <v>Salary &amp; load</v>
      </c>
      <c r="F567" s="24" t="str">
        <f aca="false">Monthly!$A$23</f>
        <v>Executive Assistant</v>
      </c>
      <c r="G567" s="20" t="n">
        <f aca="false">Monthly!AE$23</f>
        <v>8641.66666666667</v>
      </c>
      <c r="H567" s="24" t="str">
        <f aca="false">ScenarioName</f>
        <v>Base</v>
      </c>
    </row>
    <row r="568" customFormat="false" ht="15" hidden="false" customHeight="false" outlineLevel="0" collapsed="false">
      <c r="A568" s="8" t="n">
        <v>27</v>
      </c>
      <c r="B568" s="39" t="n">
        <f aca="false">EDATE(StartDate,A568-1)</f>
        <v>47178</v>
      </c>
      <c r="C568" s="24" t="str">
        <f aca="false">Monthly!$B$23</f>
        <v>EnergyWave, Inc.</v>
      </c>
      <c r="D568" s="24" t="str">
        <f aca="false">Monthly!$C$23</f>
        <v>Payroll</v>
      </c>
      <c r="E568" s="24" t="str">
        <f aca="false">Monthly!$D$23</f>
        <v>Salary &amp; load</v>
      </c>
      <c r="F568" s="24" t="str">
        <f aca="false">Monthly!$A$23</f>
        <v>Executive Assistant</v>
      </c>
      <c r="G568" s="20" t="n">
        <f aca="false">Monthly!AF$23</f>
        <v>8641.66666666667</v>
      </c>
      <c r="H568" s="24" t="str">
        <f aca="false">ScenarioName</f>
        <v>Base</v>
      </c>
    </row>
    <row r="569" customFormat="false" ht="15" hidden="false" customHeight="false" outlineLevel="0" collapsed="false">
      <c r="A569" s="8" t="n">
        <v>28</v>
      </c>
      <c r="B569" s="39" t="n">
        <f aca="false">EDATE(StartDate,A569-1)</f>
        <v>47209</v>
      </c>
      <c r="C569" s="24" t="str">
        <f aca="false">Monthly!$B$23</f>
        <v>EnergyWave, Inc.</v>
      </c>
      <c r="D569" s="24" t="str">
        <f aca="false">Monthly!$C$23</f>
        <v>Payroll</v>
      </c>
      <c r="E569" s="24" t="str">
        <f aca="false">Monthly!$D$23</f>
        <v>Salary &amp; load</v>
      </c>
      <c r="F569" s="24" t="str">
        <f aca="false">Monthly!$A$23</f>
        <v>Executive Assistant</v>
      </c>
      <c r="G569" s="20" t="n">
        <f aca="false">Monthly!AG$23</f>
        <v>8641.66666666667</v>
      </c>
      <c r="H569" s="24" t="str">
        <f aca="false">ScenarioName</f>
        <v>Base</v>
      </c>
    </row>
    <row r="570" customFormat="false" ht="15" hidden="false" customHeight="false" outlineLevel="0" collapsed="false">
      <c r="A570" s="8" t="n">
        <v>29</v>
      </c>
      <c r="B570" s="39" t="n">
        <f aca="false">EDATE(StartDate,A570-1)</f>
        <v>47239</v>
      </c>
      <c r="C570" s="24" t="str">
        <f aca="false">Monthly!$B$23</f>
        <v>EnergyWave, Inc.</v>
      </c>
      <c r="D570" s="24" t="str">
        <f aca="false">Monthly!$C$23</f>
        <v>Payroll</v>
      </c>
      <c r="E570" s="24" t="str">
        <f aca="false">Monthly!$D$23</f>
        <v>Salary &amp; load</v>
      </c>
      <c r="F570" s="24" t="str">
        <f aca="false">Monthly!$A$23</f>
        <v>Executive Assistant</v>
      </c>
      <c r="G570" s="20" t="n">
        <f aca="false">Monthly!AH$23</f>
        <v>8641.66666666667</v>
      </c>
      <c r="H570" s="24" t="str">
        <f aca="false">ScenarioName</f>
        <v>Base</v>
      </c>
    </row>
    <row r="571" customFormat="false" ht="15" hidden="false" customHeight="false" outlineLevel="0" collapsed="false">
      <c r="A571" s="8" t="n">
        <v>30</v>
      </c>
      <c r="B571" s="39" t="n">
        <f aca="false">EDATE(StartDate,A571-1)</f>
        <v>47270</v>
      </c>
      <c r="C571" s="24" t="str">
        <f aca="false">Monthly!$B$23</f>
        <v>EnergyWave, Inc.</v>
      </c>
      <c r="D571" s="24" t="str">
        <f aca="false">Monthly!$C$23</f>
        <v>Payroll</v>
      </c>
      <c r="E571" s="24" t="str">
        <f aca="false">Monthly!$D$23</f>
        <v>Salary &amp; load</v>
      </c>
      <c r="F571" s="24" t="str">
        <f aca="false">Monthly!$A$23</f>
        <v>Executive Assistant</v>
      </c>
      <c r="G571" s="20" t="n">
        <f aca="false">Monthly!AI$23</f>
        <v>8641.66666666667</v>
      </c>
      <c r="H571" s="24" t="str">
        <f aca="false">ScenarioName</f>
        <v>Base</v>
      </c>
    </row>
    <row r="572" customFormat="false" ht="15" hidden="false" customHeight="false" outlineLevel="0" collapsed="false">
      <c r="A572" s="8" t="n">
        <v>31</v>
      </c>
      <c r="B572" s="39" t="n">
        <f aca="false">EDATE(StartDate,A572-1)</f>
        <v>47300</v>
      </c>
      <c r="C572" s="24" t="str">
        <f aca="false">Monthly!$B$23</f>
        <v>EnergyWave, Inc.</v>
      </c>
      <c r="D572" s="24" t="str">
        <f aca="false">Monthly!$C$23</f>
        <v>Payroll</v>
      </c>
      <c r="E572" s="24" t="str">
        <f aca="false">Monthly!$D$23</f>
        <v>Salary &amp; load</v>
      </c>
      <c r="F572" s="24" t="str">
        <f aca="false">Monthly!$A$23</f>
        <v>Executive Assistant</v>
      </c>
      <c r="G572" s="20" t="n">
        <f aca="false">Monthly!AJ$23</f>
        <v>8641.66666666667</v>
      </c>
      <c r="H572" s="24" t="str">
        <f aca="false">ScenarioName</f>
        <v>Base</v>
      </c>
    </row>
    <row r="573" customFormat="false" ht="15" hidden="false" customHeight="false" outlineLevel="0" collapsed="false">
      <c r="A573" s="8" t="n">
        <v>32</v>
      </c>
      <c r="B573" s="39" t="n">
        <f aca="false">EDATE(StartDate,A573-1)</f>
        <v>47331</v>
      </c>
      <c r="C573" s="24" t="str">
        <f aca="false">Monthly!$B$23</f>
        <v>EnergyWave, Inc.</v>
      </c>
      <c r="D573" s="24" t="str">
        <f aca="false">Monthly!$C$23</f>
        <v>Payroll</v>
      </c>
      <c r="E573" s="24" t="str">
        <f aca="false">Monthly!$D$23</f>
        <v>Salary &amp; load</v>
      </c>
      <c r="F573" s="24" t="str">
        <f aca="false">Monthly!$A$23</f>
        <v>Executive Assistant</v>
      </c>
      <c r="G573" s="20" t="n">
        <f aca="false">Monthly!AK$23</f>
        <v>8641.66666666667</v>
      </c>
      <c r="H573" s="24" t="str">
        <f aca="false">ScenarioName</f>
        <v>Base</v>
      </c>
    </row>
    <row r="574" customFormat="false" ht="15" hidden="false" customHeight="false" outlineLevel="0" collapsed="false">
      <c r="A574" s="8" t="n">
        <v>33</v>
      </c>
      <c r="B574" s="39" t="n">
        <f aca="false">EDATE(StartDate,A574-1)</f>
        <v>47362</v>
      </c>
      <c r="C574" s="24" t="str">
        <f aca="false">Monthly!$B$23</f>
        <v>EnergyWave, Inc.</v>
      </c>
      <c r="D574" s="24" t="str">
        <f aca="false">Monthly!$C$23</f>
        <v>Payroll</v>
      </c>
      <c r="E574" s="24" t="str">
        <f aca="false">Monthly!$D$23</f>
        <v>Salary &amp; load</v>
      </c>
      <c r="F574" s="24" t="str">
        <f aca="false">Monthly!$A$23</f>
        <v>Executive Assistant</v>
      </c>
      <c r="G574" s="20" t="n">
        <f aca="false">Monthly!AL$23</f>
        <v>8641.66666666667</v>
      </c>
      <c r="H574" s="24" t="str">
        <f aca="false">ScenarioName</f>
        <v>Base</v>
      </c>
    </row>
    <row r="575" customFormat="false" ht="15" hidden="false" customHeight="false" outlineLevel="0" collapsed="false">
      <c r="A575" s="8" t="n">
        <v>34</v>
      </c>
      <c r="B575" s="39" t="n">
        <f aca="false">EDATE(StartDate,A575-1)</f>
        <v>47392</v>
      </c>
      <c r="C575" s="24" t="str">
        <f aca="false">Monthly!$B$23</f>
        <v>EnergyWave, Inc.</v>
      </c>
      <c r="D575" s="24" t="str">
        <f aca="false">Monthly!$C$23</f>
        <v>Payroll</v>
      </c>
      <c r="E575" s="24" t="str">
        <f aca="false">Monthly!$D$23</f>
        <v>Salary &amp; load</v>
      </c>
      <c r="F575" s="24" t="str">
        <f aca="false">Monthly!$A$23</f>
        <v>Executive Assistant</v>
      </c>
      <c r="G575" s="20" t="n">
        <f aca="false">Monthly!AM$23</f>
        <v>8641.66666666667</v>
      </c>
      <c r="H575" s="24" t="str">
        <f aca="false">ScenarioName</f>
        <v>Base</v>
      </c>
    </row>
    <row r="576" customFormat="false" ht="15" hidden="false" customHeight="false" outlineLevel="0" collapsed="false">
      <c r="A576" s="8" t="n">
        <v>35</v>
      </c>
      <c r="B576" s="39" t="n">
        <f aca="false">EDATE(StartDate,A576-1)</f>
        <v>47423</v>
      </c>
      <c r="C576" s="24" t="str">
        <f aca="false">Monthly!$B$23</f>
        <v>EnergyWave, Inc.</v>
      </c>
      <c r="D576" s="24" t="str">
        <f aca="false">Monthly!$C$23</f>
        <v>Payroll</v>
      </c>
      <c r="E576" s="24" t="str">
        <f aca="false">Monthly!$D$23</f>
        <v>Salary &amp; load</v>
      </c>
      <c r="F576" s="24" t="str">
        <f aca="false">Monthly!$A$23</f>
        <v>Executive Assistant</v>
      </c>
      <c r="G576" s="20" t="n">
        <f aca="false">Monthly!AN$23</f>
        <v>8641.66666666667</v>
      </c>
      <c r="H576" s="24" t="str">
        <f aca="false">ScenarioName</f>
        <v>Base</v>
      </c>
    </row>
    <row r="577" customFormat="false" ht="15" hidden="false" customHeight="false" outlineLevel="0" collapsed="false">
      <c r="A577" s="8" t="n">
        <v>36</v>
      </c>
      <c r="B577" s="39" t="n">
        <f aca="false">EDATE(StartDate,A577-1)</f>
        <v>47453</v>
      </c>
      <c r="C577" s="24" t="str">
        <f aca="false">Monthly!$B$23</f>
        <v>EnergyWave, Inc.</v>
      </c>
      <c r="D577" s="24" t="str">
        <f aca="false">Monthly!$C$23</f>
        <v>Payroll</v>
      </c>
      <c r="E577" s="24" t="str">
        <f aca="false">Monthly!$D$23</f>
        <v>Salary &amp; load</v>
      </c>
      <c r="F577" s="24" t="str">
        <f aca="false">Monthly!$A$23</f>
        <v>Executive Assistant</v>
      </c>
      <c r="G577" s="20" t="n">
        <f aca="false">Monthly!AO$23</f>
        <v>8641.66666666667</v>
      </c>
      <c r="H577" s="24" t="str">
        <f aca="false">ScenarioName</f>
        <v>Base</v>
      </c>
    </row>
    <row r="578" customFormat="false" ht="15" hidden="false" customHeight="false" outlineLevel="0" collapsed="false">
      <c r="A578" s="8" t="n">
        <v>1</v>
      </c>
      <c r="B578" s="39" t="n">
        <f aca="false">EDATE(StartDate,A578-1)</f>
        <v>46388</v>
      </c>
      <c r="C578" s="24" t="str">
        <f aca="false">Monthly!$B$24</f>
        <v>EnergyWave, Inc.</v>
      </c>
      <c r="D578" s="24" t="str">
        <f aca="false">Monthly!$C$24</f>
        <v>Payroll</v>
      </c>
      <c r="E578" s="24" t="str">
        <f aca="false">Monthly!$D$24</f>
        <v>Salary &amp; load</v>
      </c>
      <c r="F578" s="24" t="str">
        <f aca="false">Monthly!$A$24</f>
        <v>Office &amp; Operations Coordinator</v>
      </c>
      <c r="G578" s="20" t="n">
        <f aca="false">Monthly!F$24</f>
        <v>0</v>
      </c>
      <c r="H578" s="24" t="str">
        <f aca="false">ScenarioName</f>
        <v>Base</v>
      </c>
    </row>
    <row r="579" customFormat="false" ht="15" hidden="false" customHeight="false" outlineLevel="0" collapsed="false">
      <c r="A579" s="8" t="n">
        <v>2</v>
      </c>
      <c r="B579" s="39" t="n">
        <f aca="false">EDATE(StartDate,A579-1)</f>
        <v>46419</v>
      </c>
      <c r="C579" s="24" t="str">
        <f aca="false">Monthly!$B$24</f>
        <v>EnergyWave, Inc.</v>
      </c>
      <c r="D579" s="24" t="str">
        <f aca="false">Monthly!$C$24</f>
        <v>Payroll</v>
      </c>
      <c r="E579" s="24" t="str">
        <f aca="false">Monthly!$D$24</f>
        <v>Salary &amp; load</v>
      </c>
      <c r="F579" s="24" t="str">
        <f aca="false">Monthly!$A$24</f>
        <v>Office &amp; Operations Coordinator</v>
      </c>
      <c r="G579" s="20" t="n">
        <f aca="false">Monthly!G$24</f>
        <v>7116.66666666667</v>
      </c>
      <c r="H579" s="24" t="str">
        <f aca="false">ScenarioName</f>
        <v>Base</v>
      </c>
    </row>
    <row r="580" customFormat="false" ht="15" hidden="false" customHeight="false" outlineLevel="0" collapsed="false">
      <c r="A580" s="8" t="n">
        <v>3</v>
      </c>
      <c r="B580" s="39" t="n">
        <f aca="false">EDATE(StartDate,A580-1)</f>
        <v>46447</v>
      </c>
      <c r="C580" s="24" t="str">
        <f aca="false">Monthly!$B$24</f>
        <v>EnergyWave, Inc.</v>
      </c>
      <c r="D580" s="24" t="str">
        <f aca="false">Monthly!$C$24</f>
        <v>Payroll</v>
      </c>
      <c r="E580" s="24" t="str">
        <f aca="false">Monthly!$D$24</f>
        <v>Salary &amp; load</v>
      </c>
      <c r="F580" s="24" t="str">
        <f aca="false">Monthly!$A$24</f>
        <v>Office &amp; Operations Coordinator</v>
      </c>
      <c r="G580" s="20" t="n">
        <f aca="false">Monthly!H$24</f>
        <v>7116.66666666667</v>
      </c>
      <c r="H580" s="24" t="str">
        <f aca="false">ScenarioName</f>
        <v>Base</v>
      </c>
    </row>
    <row r="581" customFormat="false" ht="15" hidden="false" customHeight="false" outlineLevel="0" collapsed="false">
      <c r="A581" s="8" t="n">
        <v>4</v>
      </c>
      <c r="B581" s="39" t="n">
        <f aca="false">EDATE(StartDate,A581-1)</f>
        <v>46478</v>
      </c>
      <c r="C581" s="24" t="str">
        <f aca="false">Monthly!$B$24</f>
        <v>EnergyWave, Inc.</v>
      </c>
      <c r="D581" s="24" t="str">
        <f aca="false">Monthly!$C$24</f>
        <v>Payroll</v>
      </c>
      <c r="E581" s="24" t="str">
        <f aca="false">Monthly!$D$24</f>
        <v>Salary &amp; load</v>
      </c>
      <c r="F581" s="24" t="str">
        <f aca="false">Monthly!$A$24</f>
        <v>Office &amp; Operations Coordinator</v>
      </c>
      <c r="G581" s="20" t="n">
        <f aca="false">Monthly!I$24</f>
        <v>7116.66666666667</v>
      </c>
      <c r="H581" s="24" t="str">
        <f aca="false">ScenarioName</f>
        <v>Base</v>
      </c>
    </row>
    <row r="582" customFormat="false" ht="15" hidden="false" customHeight="false" outlineLevel="0" collapsed="false">
      <c r="A582" s="8" t="n">
        <v>5</v>
      </c>
      <c r="B582" s="39" t="n">
        <f aca="false">EDATE(StartDate,A582-1)</f>
        <v>46508</v>
      </c>
      <c r="C582" s="24" t="str">
        <f aca="false">Monthly!$B$24</f>
        <v>EnergyWave, Inc.</v>
      </c>
      <c r="D582" s="24" t="str">
        <f aca="false">Monthly!$C$24</f>
        <v>Payroll</v>
      </c>
      <c r="E582" s="24" t="str">
        <f aca="false">Monthly!$D$24</f>
        <v>Salary &amp; load</v>
      </c>
      <c r="F582" s="24" t="str">
        <f aca="false">Monthly!$A$24</f>
        <v>Office &amp; Operations Coordinator</v>
      </c>
      <c r="G582" s="20" t="n">
        <f aca="false">Monthly!J$24</f>
        <v>7116.66666666667</v>
      </c>
      <c r="H582" s="24" t="str">
        <f aca="false">ScenarioName</f>
        <v>Base</v>
      </c>
    </row>
    <row r="583" customFormat="false" ht="15" hidden="false" customHeight="false" outlineLevel="0" collapsed="false">
      <c r="A583" s="8" t="n">
        <v>6</v>
      </c>
      <c r="B583" s="39" t="n">
        <f aca="false">EDATE(StartDate,A583-1)</f>
        <v>46539</v>
      </c>
      <c r="C583" s="24" t="str">
        <f aca="false">Monthly!$B$24</f>
        <v>EnergyWave, Inc.</v>
      </c>
      <c r="D583" s="24" t="str">
        <f aca="false">Monthly!$C$24</f>
        <v>Payroll</v>
      </c>
      <c r="E583" s="24" t="str">
        <f aca="false">Monthly!$D$24</f>
        <v>Salary &amp; load</v>
      </c>
      <c r="F583" s="24" t="str">
        <f aca="false">Monthly!$A$24</f>
        <v>Office &amp; Operations Coordinator</v>
      </c>
      <c r="G583" s="20" t="n">
        <f aca="false">Monthly!K$24</f>
        <v>7116.66666666667</v>
      </c>
      <c r="H583" s="24" t="str">
        <f aca="false">ScenarioName</f>
        <v>Base</v>
      </c>
    </row>
    <row r="584" customFormat="false" ht="15" hidden="false" customHeight="false" outlineLevel="0" collapsed="false">
      <c r="A584" s="8" t="n">
        <v>7</v>
      </c>
      <c r="B584" s="39" t="n">
        <f aca="false">EDATE(StartDate,A584-1)</f>
        <v>46569</v>
      </c>
      <c r="C584" s="24" t="str">
        <f aca="false">Monthly!$B$24</f>
        <v>EnergyWave, Inc.</v>
      </c>
      <c r="D584" s="24" t="str">
        <f aca="false">Monthly!$C$24</f>
        <v>Payroll</v>
      </c>
      <c r="E584" s="24" t="str">
        <f aca="false">Monthly!$D$24</f>
        <v>Salary &amp; load</v>
      </c>
      <c r="F584" s="24" t="str">
        <f aca="false">Monthly!$A$24</f>
        <v>Office &amp; Operations Coordinator</v>
      </c>
      <c r="G584" s="20" t="n">
        <f aca="false">Monthly!L$24</f>
        <v>7116.66666666667</v>
      </c>
      <c r="H584" s="24" t="str">
        <f aca="false">ScenarioName</f>
        <v>Base</v>
      </c>
    </row>
    <row r="585" customFormat="false" ht="15" hidden="false" customHeight="false" outlineLevel="0" collapsed="false">
      <c r="A585" s="8" t="n">
        <v>8</v>
      </c>
      <c r="B585" s="39" t="n">
        <f aca="false">EDATE(StartDate,A585-1)</f>
        <v>46600</v>
      </c>
      <c r="C585" s="24" t="str">
        <f aca="false">Monthly!$B$24</f>
        <v>EnergyWave, Inc.</v>
      </c>
      <c r="D585" s="24" t="str">
        <f aca="false">Monthly!$C$24</f>
        <v>Payroll</v>
      </c>
      <c r="E585" s="24" t="str">
        <f aca="false">Monthly!$D$24</f>
        <v>Salary &amp; load</v>
      </c>
      <c r="F585" s="24" t="str">
        <f aca="false">Monthly!$A$24</f>
        <v>Office &amp; Operations Coordinator</v>
      </c>
      <c r="G585" s="20" t="n">
        <f aca="false">Monthly!M$24</f>
        <v>7116.66666666667</v>
      </c>
      <c r="H585" s="24" t="str">
        <f aca="false">ScenarioName</f>
        <v>Base</v>
      </c>
    </row>
    <row r="586" customFormat="false" ht="15" hidden="false" customHeight="false" outlineLevel="0" collapsed="false">
      <c r="A586" s="8" t="n">
        <v>9</v>
      </c>
      <c r="B586" s="39" t="n">
        <f aca="false">EDATE(StartDate,A586-1)</f>
        <v>46631</v>
      </c>
      <c r="C586" s="24" t="str">
        <f aca="false">Monthly!$B$24</f>
        <v>EnergyWave, Inc.</v>
      </c>
      <c r="D586" s="24" t="str">
        <f aca="false">Monthly!$C$24</f>
        <v>Payroll</v>
      </c>
      <c r="E586" s="24" t="str">
        <f aca="false">Monthly!$D$24</f>
        <v>Salary &amp; load</v>
      </c>
      <c r="F586" s="24" t="str">
        <f aca="false">Monthly!$A$24</f>
        <v>Office &amp; Operations Coordinator</v>
      </c>
      <c r="G586" s="20" t="n">
        <f aca="false">Monthly!N$24</f>
        <v>7116.66666666667</v>
      </c>
      <c r="H586" s="24" t="str">
        <f aca="false">ScenarioName</f>
        <v>Base</v>
      </c>
    </row>
    <row r="587" customFormat="false" ht="15" hidden="false" customHeight="false" outlineLevel="0" collapsed="false">
      <c r="A587" s="8" t="n">
        <v>10</v>
      </c>
      <c r="B587" s="39" t="n">
        <f aca="false">EDATE(StartDate,A587-1)</f>
        <v>46661</v>
      </c>
      <c r="C587" s="24" t="str">
        <f aca="false">Monthly!$B$24</f>
        <v>EnergyWave, Inc.</v>
      </c>
      <c r="D587" s="24" t="str">
        <f aca="false">Monthly!$C$24</f>
        <v>Payroll</v>
      </c>
      <c r="E587" s="24" t="str">
        <f aca="false">Monthly!$D$24</f>
        <v>Salary &amp; load</v>
      </c>
      <c r="F587" s="24" t="str">
        <f aca="false">Monthly!$A$24</f>
        <v>Office &amp; Operations Coordinator</v>
      </c>
      <c r="G587" s="20" t="n">
        <f aca="false">Monthly!O$24</f>
        <v>7116.66666666667</v>
      </c>
      <c r="H587" s="24" t="str">
        <f aca="false">ScenarioName</f>
        <v>Base</v>
      </c>
    </row>
    <row r="588" customFormat="false" ht="15" hidden="false" customHeight="false" outlineLevel="0" collapsed="false">
      <c r="A588" s="8" t="n">
        <v>11</v>
      </c>
      <c r="B588" s="39" t="n">
        <f aca="false">EDATE(StartDate,A588-1)</f>
        <v>46692</v>
      </c>
      <c r="C588" s="24" t="str">
        <f aca="false">Monthly!$B$24</f>
        <v>EnergyWave, Inc.</v>
      </c>
      <c r="D588" s="24" t="str">
        <f aca="false">Monthly!$C$24</f>
        <v>Payroll</v>
      </c>
      <c r="E588" s="24" t="str">
        <f aca="false">Monthly!$D$24</f>
        <v>Salary &amp; load</v>
      </c>
      <c r="F588" s="24" t="str">
        <f aca="false">Monthly!$A$24</f>
        <v>Office &amp; Operations Coordinator</v>
      </c>
      <c r="G588" s="20" t="n">
        <f aca="false">Monthly!P$24</f>
        <v>7116.66666666667</v>
      </c>
      <c r="H588" s="24" t="str">
        <f aca="false">ScenarioName</f>
        <v>Base</v>
      </c>
    </row>
    <row r="589" customFormat="false" ht="15" hidden="false" customHeight="false" outlineLevel="0" collapsed="false">
      <c r="A589" s="8" t="n">
        <v>12</v>
      </c>
      <c r="B589" s="39" t="n">
        <f aca="false">EDATE(StartDate,A589-1)</f>
        <v>46722</v>
      </c>
      <c r="C589" s="24" t="str">
        <f aca="false">Monthly!$B$24</f>
        <v>EnergyWave, Inc.</v>
      </c>
      <c r="D589" s="24" t="str">
        <f aca="false">Monthly!$C$24</f>
        <v>Payroll</v>
      </c>
      <c r="E589" s="24" t="str">
        <f aca="false">Monthly!$D$24</f>
        <v>Salary &amp; load</v>
      </c>
      <c r="F589" s="24" t="str">
        <f aca="false">Monthly!$A$24</f>
        <v>Office &amp; Operations Coordinator</v>
      </c>
      <c r="G589" s="20" t="n">
        <f aca="false">Monthly!Q$24</f>
        <v>7116.66666666667</v>
      </c>
      <c r="H589" s="24" t="str">
        <f aca="false">ScenarioName</f>
        <v>Base</v>
      </c>
    </row>
    <row r="590" customFormat="false" ht="15" hidden="false" customHeight="false" outlineLevel="0" collapsed="false">
      <c r="A590" s="8" t="n">
        <v>13</v>
      </c>
      <c r="B590" s="39" t="n">
        <f aca="false">EDATE(StartDate,A590-1)</f>
        <v>46753</v>
      </c>
      <c r="C590" s="24" t="str">
        <f aca="false">Monthly!$B$24</f>
        <v>EnergyWave, Inc.</v>
      </c>
      <c r="D590" s="24" t="str">
        <f aca="false">Monthly!$C$24</f>
        <v>Payroll</v>
      </c>
      <c r="E590" s="24" t="str">
        <f aca="false">Monthly!$D$24</f>
        <v>Salary &amp; load</v>
      </c>
      <c r="F590" s="24" t="str">
        <f aca="false">Monthly!$A$24</f>
        <v>Office &amp; Operations Coordinator</v>
      </c>
      <c r="G590" s="20" t="n">
        <f aca="false">Monthly!R$24</f>
        <v>7116.66666666667</v>
      </c>
      <c r="H590" s="24" t="str">
        <f aca="false">ScenarioName</f>
        <v>Base</v>
      </c>
    </row>
    <row r="591" customFormat="false" ht="15" hidden="false" customHeight="false" outlineLevel="0" collapsed="false">
      <c r="A591" s="8" t="n">
        <v>14</v>
      </c>
      <c r="B591" s="39" t="n">
        <f aca="false">EDATE(StartDate,A591-1)</f>
        <v>46784</v>
      </c>
      <c r="C591" s="24" t="str">
        <f aca="false">Monthly!$B$24</f>
        <v>EnergyWave, Inc.</v>
      </c>
      <c r="D591" s="24" t="str">
        <f aca="false">Monthly!$C$24</f>
        <v>Payroll</v>
      </c>
      <c r="E591" s="24" t="str">
        <f aca="false">Monthly!$D$24</f>
        <v>Salary &amp; load</v>
      </c>
      <c r="F591" s="24" t="str">
        <f aca="false">Monthly!$A$24</f>
        <v>Office &amp; Operations Coordinator</v>
      </c>
      <c r="G591" s="20" t="n">
        <f aca="false">Monthly!S$24</f>
        <v>7116.66666666667</v>
      </c>
      <c r="H591" s="24" t="str">
        <f aca="false">ScenarioName</f>
        <v>Base</v>
      </c>
    </row>
    <row r="592" customFormat="false" ht="15" hidden="false" customHeight="false" outlineLevel="0" collapsed="false">
      <c r="A592" s="8" t="n">
        <v>15</v>
      </c>
      <c r="B592" s="39" t="n">
        <f aca="false">EDATE(StartDate,A592-1)</f>
        <v>46813</v>
      </c>
      <c r="C592" s="24" t="str">
        <f aca="false">Monthly!$B$24</f>
        <v>EnergyWave, Inc.</v>
      </c>
      <c r="D592" s="24" t="str">
        <f aca="false">Monthly!$C$24</f>
        <v>Payroll</v>
      </c>
      <c r="E592" s="24" t="str">
        <f aca="false">Monthly!$D$24</f>
        <v>Salary &amp; load</v>
      </c>
      <c r="F592" s="24" t="str">
        <f aca="false">Monthly!$A$24</f>
        <v>Office &amp; Operations Coordinator</v>
      </c>
      <c r="G592" s="20" t="n">
        <f aca="false">Monthly!T$24</f>
        <v>7116.66666666667</v>
      </c>
      <c r="H592" s="24" t="str">
        <f aca="false">ScenarioName</f>
        <v>Base</v>
      </c>
    </row>
    <row r="593" customFormat="false" ht="15" hidden="false" customHeight="false" outlineLevel="0" collapsed="false">
      <c r="A593" s="8" t="n">
        <v>16</v>
      </c>
      <c r="B593" s="39" t="n">
        <f aca="false">EDATE(StartDate,A593-1)</f>
        <v>46844</v>
      </c>
      <c r="C593" s="24" t="str">
        <f aca="false">Monthly!$B$24</f>
        <v>EnergyWave, Inc.</v>
      </c>
      <c r="D593" s="24" t="str">
        <f aca="false">Monthly!$C$24</f>
        <v>Payroll</v>
      </c>
      <c r="E593" s="24" t="str">
        <f aca="false">Monthly!$D$24</f>
        <v>Salary &amp; load</v>
      </c>
      <c r="F593" s="24" t="str">
        <f aca="false">Monthly!$A$24</f>
        <v>Office &amp; Operations Coordinator</v>
      </c>
      <c r="G593" s="20" t="n">
        <f aca="false">Monthly!U$24</f>
        <v>7116.66666666667</v>
      </c>
      <c r="H593" s="24" t="str">
        <f aca="false">ScenarioName</f>
        <v>Base</v>
      </c>
    </row>
    <row r="594" customFormat="false" ht="15" hidden="false" customHeight="false" outlineLevel="0" collapsed="false">
      <c r="A594" s="8" t="n">
        <v>17</v>
      </c>
      <c r="B594" s="39" t="n">
        <f aca="false">EDATE(StartDate,A594-1)</f>
        <v>46874</v>
      </c>
      <c r="C594" s="24" t="str">
        <f aca="false">Monthly!$B$24</f>
        <v>EnergyWave, Inc.</v>
      </c>
      <c r="D594" s="24" t="str">
        <f aca="false">Monthly!$C$24</f>
        <v>Payroll</v>
      </c>
      <c r="E594" s="24" t="str">
        <f aca="false">Monthly!$D$24</f>
        <v>Salary &amp; load</v>
      </c>
      <c r="F594" s="24" t="str">
        <f aca="false">Monthly!$A$24</f>
        <v>Office &amp; Operations Coordinator</v>
      </c>
      <c r="G594" s="20" t="n">
        <f aca="false">Monthly!V$24</f>
        <v>7116.66666666667</v>
      </c>
      <c r="H594" s="24" t="str">
        <f aca="false">ScenarioName</f>
        <v>Base</v>
      </c>
    </row>
    <row r="595" customFormat="false" ht="15" hidden="false" customHeight="false" outlineLevel="0" collapsed="false">
      <c r="A595" s="8" t="n">
        <v>18</v>
      </c>
      <c r="B595" s="39" t="n">
        <f aca="false">EDATE(StartDate,A595-1)</f>
        <v>46905</v>
      </c>
      <c r="C595" s="24" t="str">
        <f aca="false">Monthly!$B$24</f>
        <v>EnergyWave, Inc.</v>
      </c>
      <c r="D595" s="24" t="str">
        <f aca="false">Monthly!$C$24</f>
        <v>Payroll</v>
      </c>
      <c r="E595" s="24" t="str">
        <f aca="false">Monthly!$D$24</f>
        <v>Salary &amp; load</v>
      </c>
      <c r="F595" s="24" t="str">
        <f aca="false">Monthly!$A$24</f>
        <v>Office &amp; Operations Coordinator</v>
      </c>
      <c r="G595" s="20" t="n">
        <f aca="false">Monthly!W$24</f>
        <v>7116.66666666667</v>
      </c>
      <c r="H595" s="24" t="str">
        <f aca="false">ScenarioName</f>
        <v>Base</v>
      </c>
    </row>
    <row r="596" customFormat="false" ht="15" hidden="false" customHeight="false" outlineLevel="0" collapsed="false">
      <c r="A596" s="8" t="n">
        <v>19</v>
      </c>
      <c r="B596" s="39" t="n">
        <f aca="false">EDATE(StartDate,A596-1)</f>
        <v>46935</v>
      </c>
      <c r="C596" s="24" t="str">
        <f aca="false">Monthly!$B$24</f>
        <v>EnergyWave, Inc.</v>
      </c>
      <c r="D596" s="24" t="str">
        <f aca="false">Monthly!$C$24</f>
        <v>Payroll</v>
      </c>
      <c r="E596" s="24" t="str">
        <f aca="false">Monthly!$D$24</f>
        <v>Salary &amp; load</v>
      </c>
      <c r="F596" s="24" t="str">
        <f aca="false">Monthly!$A$24</f>
        <v>Office &amp; Operations Coordinator</v>
      </c>
      <c r="G596" s="20" t="n">
        <f aca="false">Monthly!X$24</f>
        <v>7116.66666666667</v>
      </c>
      <c r="H596" s="24" t="str">
        <f aca="false">ScenarioName</f>
        <v>Base</v>
      </c>
    </row>
    <row r="597" customFormat="false" ht="15" hidden="false" customHeight="false" outlineLevel="0" collapsed="false">
      <c r="A597" s="8" t="n">
        <v>20</v>
      </c>
      <c r="B597" s="39" t="n">
        <f aca="false">EDATE(StartDate,A597-1)</f>
        <v>46966</v>
      </c>
      <c r="C597" s="24" t="str">
        <f aca="false">Monthly!$B$24</f>
        <v>EnergyWave, Inc.</v>
      </c>
      <c r="D597" s="24" t="str">
        <f aca="false">Monthly!$C$24</f>
        <v>Payroll</v>
      </c>
      <c r="E597" s="24" t="str">
        <f aca="false">Monthly!$D$24</f>
        <v>Salary &amp; load</v>
      </c>
      <c r="F597" s="24" t="str">
        <f aca="false">Monthly!$A$24</f>
        <v>Office &amp; Operations Coordinator</v>
      </c>
      <c r="G597" s="20" t="n">
        <f aca="false">Monthly!Y$24</f>
        <v>7116.66666666667</v>
      </c>
      <c r="H597" s="24" t="str">
        <f aca="false">ScenarioName</f>
        <v>Base</v>
      </c>
    </row>
    <row r="598" customFormat="false" ht="15" hidden="false" customHeight="false" outlineLevel="0" collapsed="false">
      <c r="A598" s="8" t="n">
        <v>21</v>
      </c>
      <c r="B598" s="39" t="n">
        <f aca="false">EDATE(StartDate,A598-1)</f>
        <v>46997</v>
      </c>
      <c r="C598" s="24" t="str">
        <f aca="false">Monthly!$B$24</f>
        <v>EnergyWave, Inc.</v>
      </c>
      <c r="D598" s="24" t="str">
        <f aca="false">Monthly!$C$24</f>
        <v>Payroll</v>
      </c>
      <c r="E598" s="24" t="str">
        <f aca="false">Monthly!$D$24</f>
        <v>Salary &amp; load</v>
      </c>
      <c r="F598" s="24" t="str">
        <f aca="false">Monthly!$A$24</f>
        <v>Office &amp; Operations Coordinator</v>
      </c>
      <c r="G598" s="20" t="n">
        <f aca="false">Monthly!Z$24</f>
        <v>7116.66666666667</v>
      </c>
      <c r="H598" s="24" t="str">
        <f aca="false">ScenarioName</f>
        <v>Base</v>
      </c>
    </row>
    <row r="599" customFormat="false" ht="15" hidden="false" customHeight="false" outlineLevel="0" collapsed="false">
      <c r="A599" s="8" t="n">
        <v>22</v>
      </c>
      <c r="B599" s="39" t="n">
        <f aca="false">EDATE(StartDate,A599-1)</f>
        <v>47027</v>
      </c>
      <c r="C599" s="24" t="str">
        <f aca="false">Monthly!$B$24</f>
        <v>EnergyWave, Inc.</v>
      </c>
      <c r="D599" s="24" t="str">
        <f aca="false">Monthly!$C$24</f>
        <v>Payroll</v>
      </c>
      <c r="E599" s="24" t="str">
        <f aca="false">Monthly!$D$24</f>
        <v>Salary &amp; load</v>
      </c>
      <c r="F599" s="24" t="str">
        <f aca="false">Monthly!$A$24</f>
        <v>Office &amp; Operations Coordinator</v>
      </c>
      <c r="G599" s="20" t="n">
        <f aca="false">Monthly!AA$24</f>
        <v>7116.66666666667</v>
      </c>
      <c r="H599" s="24" t="str">
        <f aca="false">ScenarioName</f>
        <v>Base</v>
      </c>
    </row>
    <row r="600" customFormat="false" ht="15" hidden="false" customHeight="false" outlineLevel="0" collapsed="false">
      <c r="A600" s="8" t="n">
        <v>23</v>
      </c>
      <c r="B600" s="39" t="n">
        <f aca="false">EDATE(StartDate,A600-1)</f>
        <v>47058</v>
      </c>
      <c r="C600" s="24" t="str">
        <f aca="false">Monthly!$B$24</f>
        <v>EnergyWave, Inc.</v>
      </c>
      <c r="D600" s="24" t="str">
        <f aca="false">Monthly!$C$24</f>
        <v>Payroll</v>
      </c>
      <c r="E600" s="24" t="str">
        <f aca="false">Monthly!$D$24</f>
        <v>Salary &amp; load</v>
      </c>
      <c r="F600" s="24" t="str">
        <f aca="false">Monthly!$A$24</f>
        <v>Office &amp; Operations Coordinator</v>
      </c>
      <c r="G600" s="20" t="n">
        <f aca="false">Monthly!AB$24</f>
        <v>7116.66666666667</v>
      </c>
      <c r="H600" s="24" t="str">
        <f aca="false">ScenarioName</f>
        <v>Base</v>
      </c>
    </row>
    <row r="601" customFormat="false" ht="15" hidden="false" customHeight="false" outlineLevel="0" collapsed="false">
      <c r="A601" s="8" t="n">
        <v>24</v>
      </c>
      <c r="B601" s="39" t="n">
        <f aca="false">EDATE(StartDate,A601-1)</f>
        <v>47088</v>
      </c>
      <c r="C601" s="24" t="str">
        <f aca="false">Monthly!$B$24</f>
        <v>EnergyWave, Inc.</v>
      </c>
      <c r="D601" s="24" t="str">
        <f aca="false">Monthly!$C$24</f>
        <v>Payroll</v>
      </c>
      <c r="E601" s="24" t="str">
        <f aca="false">Monthly!$D$24</f>
        <v>Salary &amp; load</v>
      </c>
      <c r="F601" s="24" t="str">
        <f aca="false">Monthly!$A$24</f>
        <v>Office &amp; Operations Coordinator</v>
      </c>
      <c r="G601" s="20" t="n">
        <f aca="false">Monthly!AC$24</f>
        <v>7116.66666666667</v>
      </c>
      <c r="H601" s="24" t="str">
        <f aca="false">ScenarioName</f>
        <v>Base</v>
      </c>
    </row>
    <row r="602" customFormat="false" ht="15" hidden="false" customHeight="false" outlineLevel="0" collapsed="false">
      <c r="A602" s="8" t="n">
        <v>25</v>
      </c>
      <c r="B602" s="39" t="n">
        <f aca="false">EDATE(StartDate,A602-1)</f>
        <v>47119</v>
      </c>
      <c r="C602" s="24" t="str">
        <f aca="false">Monthly!$B$24</f>
        <v>EnergyWave, Inc.</v>
      </c>
      <c r="D602" s="24" t="str">
        <f aca="false">Monthly!$C$24</f>
        <v>Payroll</v>
      </c>
      <c r="E602" s="24" t="str">
        <f aca="false">Monthly!$D$24</f>
        <v>Salary &amp; load</v>
      </c>
      <c r="F602" s="24" t="str">
        <f aca="false">Monthly!$A$24</f>
        <v>Office &amp; Operations Coordinator</v>
      </c>
      <c r="G602" s="20" t="n">
        <f aca="false">Monthly!AD$24</f>
        <v>7116.66666666667</v>
      </c>
      <c r="H602" s="24" t="str">
        <f aca="false">ScenarioName</f>
        <v>Base</v>
      </c>
    </row>
    <row r="603" customFormat="false" ht="15" hidden="false" customHeight="false" outlineLevel="0" collapsed="false">
      <c r="A603" s="8" t="n">
        <v>26</v>
      </c>
      <c r="B603" s="39" t="n">
        <f aca="false">EDATE(StartDate,A603-1)</f>
        <v>47150</v>
      </c>
      <c r="C603" s="24" t="str">
        <f aca="false">Monthly!$B$24</f>
        <v>EnergyWave, Inc.</v>
      </c>
      <c r="D603" s="24" t="str">
        <f aca="false">Monthly!$C$24</f>
        <v>Payroll</v>
      </c>
      <c r="E603" s="24" t="str">
        <f aca="false">Monthly!$D$24</f>
        <v>Salary &amp; load</v>
      </c>
      <c r="F603" s="24" t="str">
        <f aca="false">Monthly!$A$24</f>
        <v>Office &amp; Operations Coordinator</v>
      </c>
      <c r="G603" s="20" t="n">
        <f aca="false">Monthly!AE$24</f>
        <v>7116.66666666667</v>
      </c>
      <c r="H603" s="24" t="str">
        <f aca="false">ScenarioName</f>
        <v>Base</v>
      </c>
    </row>
    <row r="604" customFormat="false" ht="15" hidden="false" customHeight="false" outlineLevel="0" collapsed="false">
      <c r="A604" s="8" t="n">
        <v>27</v>
      </c>
      <c r="B604" s="39" t="n">
        <f aca="false">EDATE(StartDate,A604-1)</f>
        <v>47178</v>
      </c>
      <c r="C604" s="24" t="str">
        <f aca="false">Monthly!$B$24</f>
        <v>EnergyWave, Inc.</v>
      </c>
      <c r="D604" s="24" t="str">
        <f aca="false">Monthly!$C$24</f>
        <v>Payroll</v>
      </c>
      <c r="E604" s="24" t="str">
        <f aca="false">Monthly!$D$24</f>
        <v>Salary &amp; load</v>
      </c>
      <c r="F604" s="24" t="str">
        <f aca="false">Monthly!$A$24</f>
        <v>Office &amp; Operations Coordinator</v>
      </c>
      <c r="G604" s="20" t="n">
        <f aca="false">Monthly!AF$24</f>
        <v>7116.66666666667</v>
      </c>
      <c r="H604" s="24" t="str">
        <f aca="false">ScenarioName</f>
        <v>Base</v>
      </c>
    </row>
    <row r="605" customFormat="false" ht="15" hidden="false" customHeight="false" outlineLevel="0" collapsed="false">
      <c r="A605" s="8" t="n">
        <v>28</v>
      </c>
      <c r="B605" s="39" t="n">
        <f aca="false">EDATE(StartDate,A605-1)</f>
        <v>47209</v>
      </c>
      <c r="C605" s="24" t="str">
        <f aca="false">Monthly!$B$24</f>
        <v>EnergyWave, Inc.</v>
      </c>
      <c r="D605" s="24" t="str">
        <f aca="false">Monthly!$C$24</f>
        <v>Payroll</v>
      </c>
      <c r="E605" s="24" t="str">
        <f aca="false">Monthly!$D$24</f>
        <v>Salary &amp; load</v>
      </c>
      <c r="F605" s="24" t="str">
        <f aca="false">Monthly!$A$24</f>
        <v>Office &amp; Operations Coordinator</v>
      </c>
      <c r="G605" s="20" t="n">
        <f aca="false">Monthly!AG$24</f>
        <v>7116.66666666667</v>
      </c>
      <c r="H605" s="24" t="str">
        <f aca="false">ScenarioName</f>
        <v>Base</v>
      </c>
    </row>
    <row r="606" customFormat="false" ht="15" hidden="false" customHeight="false" outlineLevel="0" collapsed="false">
      <c r="A606" s="8" t="n">
        <v>29</v>
      </c>
      <c r="B606" s="39" t="n">
        <f aca="false">EDATE(StartDate,A606-1)</f>
        <v>47239</v>
      </c>
      <c r="C606" s="24" t="str">
        <f aca="false">Monthly!$B$24</f>
        <v>EnergyWave, Inc.</v>
      </c>
      <c r="D606" s="24" t="str">
        <f aca="false">Monthly!$C$24</f>
        <v>Payroll</v>
      </c>
      <c r="E606" s="24" t="str">
        <f aca="false">Monthly!$D$24</f>
        <v>Salary &amp; load</v>
      </c>
      <c r="F606" s="24" t="str">
        <f aca="false">Monthly!$A$24</f>
        <v>Office &amp; Operations Coordinator</v>
      </c>
      <c r="G606" s="20" t="n">
        <f aca="false">Monthly!AH$24</f>
        <v>7116.66666666667</v>
      </c>
      <c r="H606" s="24" t="str">
        <f aca="false">ScenarioName</f>
        <v>Base</v>
      </c>
    </row>
    <row r="607" customFormat="false" ht="15" hidden="false" customHeight="false" outlineLevel="0" collapsed="false">
      <c r="A607" s="8" t="n">
        <v>30</v>
      </c>
      <c r="B607" s="39" t="n">
        <f aca="false">EDATE(StartDate,A607-1)</f>
        <v>47270</v>
      </c>
      <c r="C607" s="24" t="str">
        <f aca="false">Monthly!$B$24</f>
        <v>EnergyWave, Inc.</v>
      </c>
      <c r="D607" s="24" t="str">
        <f aca="false">Monthly!$C$24</f>
        <v>Payroll</v>
      </c>
      <c r="E607" s="24" t="str">
        <f aca="false">Monthly!$D$24</f>
        <v>Salary &amp; load</v>
      </c>
      <c r="F607" s="24" t="str">
        <f aca="false">Monthly!$A$24</f>
        <v>Office &amp; Operations Coordinator</v>
      </c>
      <c r="G607" s="20" t="n">
        <f aca="false">Monthly!AI$24</f>
        <v>7116.66666666667</v>
      </c>
      <c r="H607" s="24" t="str">
        <f aca="false">ScenarioName</f>
        <v>Base</v>
      </c>
    </row>
    <row r="608" customFormat="false" ht="15" hidden="false" customHeight="false" outlineLevel="0" collapsed="false">
      <c r="A608" s="8" t="n">
        <v>31</v>
      </c>
      <c r="B608" s="39" t="n">
        <f aca="false">EDATE(StartDate,A608-1)</f>
        <v>47300</v>
      </c>
      <c r="C608" s="24" t="str">
        <f aca="false">Monthly!$B$24</f>
        <v>EnergyWave, Inc.</v>
      </c>
      <c r="D608" s="24" t="str">
        <f aca="false">Monthly!$C$24</f>
        <v>Payroll</v>
      </c>
      <c r="E608" s="24" t="str">
        <f aca="false">Monthly!$D$24</f>
        <v>Salary &amp; load</v>
      </c>
      <c r="F608" s="24" t="str">
        <f aca="false">Monthly!$A$24</f>
        <v>Office &amp; Operations Coordinator</v>
      </c>
      <c r="G608" s="20" t="n">
        <f aca="false">Monthly!AJ$24</f>
        <v>7116.66666666667</v>
      </c>
      <c r="H608" s="24" t="str">
        <f aca="false">ScenarioName</f>
        <v>Base</v>
      </c>
    </row>
    <row r="609" customFormat="false" ht="15" hidden="false" customHeight="false" outlineLevel="0" collapsed="false">
      <c r="A609" s="8" t="n">
        <v>32</v>
      </c>
      <c r="B609" s="39" t="n">
        <f aca="false">EDATE(StartDate,A609-1)</f>
        <v>47331</v>
      </c>
      <c r="C609" s="24" t="str">
        <f aca="false">Monthly!$B$24</f>
        <v>EnergyWave, Inc.</v>
      </c>
      <c r="D609" s="24" t="str">
        <f aca="false">Monthly!$C$24</f>
        <v>Payroll</v>
      </c>
      <c r="E609" s="24" t="str">
        <f aca="false">Monthly!$D$24</f>
        <v>Salary &amp; load</v>
      </c>
      <c r="F609" s="24" t="str">
        <f aca="false">Monthly!$A$24</f>
        <v>Office &amp; Operations Coordinator</v>
      </c>
      <c r="G609" s="20" t="n">
        <f aca="false">Monthly!AK$24</f>
        <v>7116.66666666667</v>
      </c>
      <c r="H609" s="24" t="str">
        <f aca="false">ScenarioName</f>
        <v>Base</v>
      </c>
    </row>
    <row r="610" customFormat="false" ht="15" hidden="false" customHeight="false" outlineLevel="0" collapsed="false">
      <c r="A610" s="8" t="n">
        <v>33</v>
      </c>
      <c r="B610" s="39" t="n">
        <f aca="false">EDATE(StartDate,A610-1)</f>
        <v>47362</v>
      </c>
      <c r="C610" s="24" t="str">
        <f aca="false">Monthly!$B$24</f>
        <v>EnergyWave, Inc.</v>
      </c>
      <c r="D610" s="24" t="str">
        <f aca="false">Monthly!$C$24</f>
        <v>Payroll</v>
      </c>
      <c r="E610" s="24" t="str">
        <f aca="false">Monthly!$D$24</f>
        <v>Salary &amp; load</v>
      </c>
      <c r="F610" s="24" t="str">
        <f aca="false">Monthly!$A$24</f>
        <v>Office &amp; Operations Coordinator</v>
      </c>
      <c r="G610" s="20" t="n">
        <f aca="false">Monthly!AL$24</f>
        <v>7116.66666666667</v>
      </c>
      <c r="H610" s="24" t="str">
        <f aca="false">ScenarioName</f>
        <v>Base</v>
      </c>
    </row>
    <row r="611" customFormat="false" ht="15" hidden="false" customHeight="false" outlineLevel="0" collapsed="false">
      <c r="A611" s="8" t="n">
        <v>34</v>
      </c>
      <c r="B611" s="39" t="n">
        <f aca="false">EDATE(StartDate,A611-1)</f>
        <v>47392</v>
      </c>
      <c r="C611" s="24" t="str">
        <f aca="false">Monthly!$B$24</f>
        <v>EnergyWave, Inc.</v>
      </c>
      <c r="D611" s="24" t="str">
        <f aca="false">Monthly!$C$24</f>
        <v>Payroll</v>
      </c>
      <c r="E611" s="24" t="str">
        <f aca="false">Monthly!$D$24</f>
        <v>Salary &amp; load</v>
      </c>
      <c r="F611" s="24" t="str">
        <f aca="false">Monthly!$A$24</f>
        <v>Office &amp; Operations Coordinator</v>
      </c>
      <c r="G611" s="20" t="n">
        <f aca="false">Monthly!AM$24</f>
        <v>7116.66666666667</v>
      </c>
      <c r="H611" s="24" t="str">
        <f aca="false">ScenarioName</f>
        <v>Base</v>
      </c>
    </row>
    <row r="612" customFormat="false" ht="15" hidden="false" customHeight="false" outlineLevel="0" collapsed="false">
      <c r="A612" s="8" t="n">
        <v>35</v>
      </c>
      <c r="B612" s="39" t="n">
        <f aca="false">EDATE(StartDate,A612-1)</f>
        <v>47423</v>
      </c>
      <c r="C612" s="24" t="str">
        <f aca="false">Monthly!$B$24</f>
        <v>EnergyWave, Inc.</v>
      </c>
      <c r="D612" s="24" t="str">
        <f aca="false">Monthly!$C$24</f>
        <v>Payroll</v>
      </c>
      <c r="E612" s="24" t="str">
        <f aca="false">Monthly!$D$24</f>
        <v>Salary &amp; load</v>
      </c>
      <c r="F612" s="24" t="str">
        <f aca="false">Monthly!$A$24</f>
        <v>Office &amp; Operations Coordinator</v>
      </c>
      <c r="G612" s="20" t="n">
        <f aca="false">Monthly!AN$24</f>
        <v>7116.66666666667</v>
      </c>
      <c r="H612" s="24" t="str">
        <f aca="false">ScenarioName</f>
        <v>Base</v>
      </c>
    </row>
    <row r="613" customFormat="false" ht="15" hidden="false" customHeight="false" outlineLevel="0" collapsed="false">
      <c r="A613" s="8" t="n">
        <v>36</v>
      </c>
      <c r="B613" s="39" t="n">
        <f aca="false">EDATE(StartDate,A613-1)</f>
        <v>47453</v>
      </c>
      <c r="C613" s="24" t="str">
        <f aca="false">Monthly!$B$24</f>
        <v>EnergyWave, Inc.</v>
      </c>
      <c r="D613" s="24" t="str">
        <f aca="false">Monthly!$C$24</f>
        <v>Payroll</v>
      </c>
      <c r="E613" s="24" t="str">
        <f aca="false">Monthly!$D$24</f>
        <v>Salary &amp; load</v>
      </c>
      <c r="F613" s="24" t="str">
        <f aca="false">Monthly!$A$24</f>
        <v>Office &amp; Operations Coordinator</v>
      </c>
      <c r="G613" s="20" t="n">
        <f aca="false">Monthly!AO$24</f>
        <v>7116.66666666667</v>
      </c>
      <c r="H613" s="24" t="str">
        <f aca="false">ScenarioName</f>
        <v>Base</v>
      </c>
    </row>
    <row r="614" customFormat="false" ht="15" hidden="false" customHeight="false" outlineLevel="0" collapsed="false">
      <c r="A614" s="8" t="n">
        <v>1</v>
      </c>
      <c r="B614" s="39" t="n">
        <f aca="false">EDATE(StartDate,A614-1)</f>
        <v>46388</v>
      </c>
      <c r="C614" s="24" t="str">
        <f aca="false">Monthly!$B$25</f>
        <v>EnergyWave, Inc.</v>
      </c>
      <c r="D614" s="24" t="str">
        <f aca="false">Monthly!$C$25</f>
        <v>Consulting</v>
      </c>
      <c r="E614" s="24" t="str">
        <f aca="false">Monthly!$D$25</f>
        <v>Consulting fee</v>
      </c>
      <c r="F614" s="24" t="str">
        <f aca="false">Monthly!$A$25</f>
        <v>Government Liaison (consulting)</v>
      </c>
      <c r="G614" s="20" t="n">
        <f aca="false">Monthly!F$25</f>
        <v>5000</v>
      </c>
      <c r="H614" s="24" t="str">
        <f aca="false">ScenarioName</f>
        <v>Base</v>
      </c>
    </row>
    <row r="615" customFormat="false" ht="15" hidden="false" customHeight="false" outlineLevel="0" collapsed="false">
      <c r="A615" s="8" t="n">
        <v>2</v>
      </c>
      <c r="B615" s="39" t="n">
        <f aca="false">EDATE(StartDate,A615-1)</f>
        <v>46419</v>
      </c>
      <c r="C615" s="24" t="str">
        <f aca="false">Monthly!$B$25</f>
        <v>EnergyWave, Inc.</v>
      </c>
      <c r="D615" s="24" t="str">
        <f aca="false">Monthly!$C$25</f>
        <v>Consulting</v>
      </c>
      <c r="E615" s="24" t="str">
        <f aca="false">Monthly!$D$25</f>
        <v>Consulting fee</v>
      </c>
      <c r="F615" s="24" t="str">
        <f aca="false">Monthly!$A$25</f>
        <v>Government Liaison (consulting)</v>
      </c>
      <c r="G615" s="20" t="n">
        <f aca="false">Monthly!G$25</f>
        <v>5000</v>
      </c>
      <c r="H615" s="24" t="str">
        <f aca="false">ScenarioName</f>
        <v>Base</v>
      </c>
    </row>
    <row r="616" customFormat="false" ht="15" hidden="false" customHeight="false" outlineLevel="0" collapsed="false">
      <c r="A616" s="8" t="n">
        <v>3</v>
      </c>
      <c r="B616" s="39" t="n">
        <f aca="false">EDATE(StartDate,A616-1)</f>
        <v>46447</v>
      </c>
      <c r="C616" s="24" t="str">
        <f aca="false">Monthly!$B$25</f>
        <v>EnergyWave, Inc.</v>
      </c>
      <c r="D616" s="24" t="str">
        <f aca="false">Monthly!$C$25</f>
        <v>Consulting</v>
      </c>
      <c r="E616" s="24" t="str">
        <f aca="false">Monthly!$D$25</f>
        <v>Consulting fee</v>
      </c>
      <c r="F616" s="24" t="str">
        <f aca="false">Monthly!$A$25</f>
        <v>Government Liaison (consulting)</v>
      </c>
      <c r="G616" s="20" t="n">
        <f aca="false">Monthly!H$25</f>
        <v>5000</v>
      </c>
      <c r="H616" s="24" t="str">
        <f aca="false">ScenarioName</f>
        <v>Base</v>
      </c>
    </row>
    <row r="617" customFormat="false" ht="15" hidden="false" customHeight="false" outlineLevel="0" collapsed="false">
      <c r="A617" s="8" t="n">
        <v>4</v>
      </c>
      <c r="B617" s="39" t="n">
        <f aca="false">EDATE(StartDate,A617-1)</f>
        <v>46478</v>
      </c>
      <c r="C617" s="24" t="str">
        <f aca="false">Monthly!$B$25</f>
        <v>EnergyWave, Inc.</v>
      </c>
      <c r="D617" s="24" t="str">
        <f aca="false">Monthly!$C$25</f>
        <v>Consulting</v>
      </c>
      <c r="E617" s="24" t="str">
        <f aca="false">Monthly!$D$25</f>
        <v>Consulting fee</v>
      </c>
      <c r="F617" s="24" t="str">
        <f aca="false">Monthly!$A$25</f>
        <v>Government Liaison (consulting)</v>
      </c>
      <c r="G617" s="20" t="n">
        <f aca="false">Monthly!I$25</f>
        <v>5000</v>
      </c>
      <c r="H617" s="24" t="str">
        <f aca="false">ScenarioName</f>
        <v>Base</v>
      </c>
    </row>
    <row r="618" customFormat="false" ht="15" hidden="false" customHeight="false" outlineLevel="0" collapsed="false">
      <c r="A618" s="8" t="n">
        <v>5</v>
      </c>
      <c r="B618" s="39" t="n">
        <f aca="false">EDATE(StartDate,A618-1)</f>
        <v>46508</v>
      </c>
      <c r="C618" s="24" t="str">
        <f aca="false">Monthly!$B$25</f>
        <v>EnergyWave, Inc.</v>
      </c>
      <c r="D618" s="24" t="str">
        <f aca="false">Monthly!$C$25</f>
        <v>Consulting</v>
      </c>
      <c r="E618" s="24" t="str">
        <f aca="false">Monthly!$D$25</f>
        <v>Consulting fee</v>
      </c>
      <c r="F618" s="24" t="str">
        <f aca="false">Monthly!$A$25</f>
        <v>Government Liaison (consulting)</v>
      </c>
      <c r="G618" s="20" t="n">
        <f aca="false">Monthly!J$25</f>
        <v>5000</v>
      </c>
      <c r="H618" s="24" t="str">
        <f aca="false">ScenarioName</f>
        <v>Base</v>
      </c>
    </row>
    <row r="619" customFormat="false" ht="15" hidden="false" customHeight="false" outlineLevel="0" collapsed="false">
      <c r="A619" s="8" t="n">
        <v>6</v>
      </c>
      <c r="B619" s="39" t="n">
        <f aca="false">EDATE(StartDate,A619-1)</f>
        <v>46539</v>
      </c>
      <c r="C619" s="24" t="str">
        <f aca="false">Monthly!$B$25</f>
        <v>EnergyWave, Inc.</v>
      </c>
      <c r="D619" s="24" t="str">
        <f aca="false">Monthly!$C$25</f>
        <v>Consulting</v>
      </c>
      <c r="E619" s="24" t="str">
        <f aca="false">Monthly!$D$25</f>
        <v>Consulting fee</v>
      </c>
      <c r="F619" s="24" t="str">
        <f aca="false">Monthly!$A$25</f>
        <v>Government Liaison (consulting)</v>
      </c>
      <c r="G619" s="20" t="n">
        <f aca="false">Monthly!K$25</f>
        <v>5000</v>
      </c>
      <c r="H619" s="24" t="str">
        <f aca="false">ScenarioName</f>
        <v>Base</v>
      </c>
    </row>
    <row r="620" customFormat="false" ht="15" hidden="false" customHeight="false" outlineLevel="0" collapsed="false">
      <c r="A620" s="8" t="n">
        <v>7</v>
      </c>
      <c r="B620" s="39" t="n">
        <f aca="false">EDATE(StartDate,A620-1)</f>
        <v>46569</v>
      </c>
      <c r="C620" s="24" t="str">
        <f aca="false">Monthly!$B$25</f>
        <v>EnergyWave, Inc.</v>
      </c>
      <c r="D620" s="24" t="str">
        <f aca="false">Monthly!$C$25</f>
        <v>Consulting</v>
      </c>
      <c r="E620" s="24" t="str">
        <f aca="false">Monthly!$D$25</f>
        <v>Consulting fee</v>
      </c>
      <c r="F620" s="24" t="str">
        <f aca="false">Monthly!$A$25</f>
        <v>Government Liaison (consulting)</v>
      </c>
      <c r="G620" s="20" t="n">
        <f aca="false">Monthly!L$25</f>
        <v>5000</v>
      </c>
      <c r="H620" s="24" t="str">
        <f aca="false">ScenarioName</f>
        <v>Base</v>
      </c>
    </row>
    <row r="621" customFormat="false" ht="15" hidden="false" customHeight="false" outlineLevel="0" collapsed="false">
      <c r="A621" s="8" t="n">
        <v>8</v>
      </c>
      <c r="B621" s="39" t="n">
        <f aca="false">EDATE(StartDate,A621-1)</f>
        <v>46600</v>
      </c>
      <c r="C621" s="24" t="str">
        <f aca="false">Monthly!$B$25</f>
        <v>EnergyWave, Inc.</v>
      </c>
      <c r="D621" s="24" t="str">
        <f aca="false">Monthly!$C$25</f>
        <v>Consulting</v>
      </c>
      <c r="E621" s="24" t="str">
        <f aca="false">Monthly!$D$25</f>
        <v>Consulting fee</v>
      </c>
      <c r="F621" s="24" t="str">
        <f aca="false">Monthly!$A$25</f>
        <v>Government Liaison (consulting)</v>
      </c>
      <c r="G621" s="20" t="n">
        <f aca="false">Monthly!M$25</f>
        <v>5000</v>
      </c>
      <c r="H621" s="24" t="str">
        <f aca="false">ScenarioName</f>
        <v>Base</v>
      </c>
    </row>
    <row r="622" customFormat="false" ht="15" hidden="false" customHeight="false" outlineLevel="0" collapsed="false">
      <c r="A622" s="8" t="n">
        <v>9</v>
      </c>
      <c r="B622" s="39" t="n">
        <f aca="false">EDATE(StartDate,A622-1)</f>
        <v>46631</v>
      </c>
      <c r="C622" s="24" t="str">
        <f aca="false">Monthly!$B$25</f>
        <v>EnergyWave, Inc.</v>
      </c>
      <c r="D622" s="24" t="str">
        <f aca="false">Monthly!$C$25</f>
        <v>Consulting</v>
      </c>
      <c r="E622" s="24" t="str">
        <f aca="false">Monthly!$D$25</f>
        <v>Consulting fee</v>
      </c>
      <c r="F622" s="24" t="str">
        <f aca="false">Monthly!$A$25</f>
        <v>Government Liaison (consulting)</v>
      </c>
      <c r="G622" s="20" t="n">
        <f aca="false">Monthly!N$25</f>
        <v>5000</v>
      </c>
      <c r="H622" s="24" t="str">
        <f aca="false">ScenarioName</f>
        <v>Base</v>
      </c>
    </row>
    <row r="623" customFormat="false" ht="15" hidden="false" customHeight="false" outlineLevel="0" collapsed="false">
      <c r="A623" s="8" t="n">
        <v>10</v>
      </c>
      <c r="B623" s="39" t="n">
        <f aca="false">EDATE(StartDate,A623-1)</f>
        <v>46661</v>
      </c>
      <c r="C623" s="24" t="str">
        <f aca="false">Monthly!$B$25</f>
        <v>EnergyWave, Inc.</v>
      </c>
      <c r="D623" s="24" t="str">
        <f aca="false">Monthly!$C$25</f>
        <v>Consulting</v>
      </c>
      <c r="E623" s="24" t="str">
        <f aca="false">Monthly!$D$25</f>
        <v>Consulting fee</v>
      </c>
      <c r="F623" s="24" t="str">
        <f aca="false">Monthly!$A$25</f>
        <v>Government Liaison (consulting)</v>
      </c>
      <c r="G623" s="20" t="n">
        <f aca="false">Monthly!O$25</f>
        <v>5000</v>
      </c>
      <c r="H623" s="24" t="str">
        <f aca="false">ScenarioName</f>
        <v>Base</v>
      </c>
    </row>
    <row r="624" customFormat="false" ht="15" hidden="false" customHeight="false" outlineLevel="0" collapsed="false">
      <c r="A624" s="8" t="n">
        <v>11</v>
      </c>
      <c r="B624" s="39" t="n">
        <f aca="false">EDATE(StartDate,A624-1)</f>
        <v>46692</v>
      </c>
      <c r="C624" s="24" t="str">
        <f aca="false">Monthly!$B$25</f>
        <v>EnergyWave, Inc.</v>
      </c>
      <c r="D624" s="24" t="str">
        <f aca="false">Monthly!$C$25</f>
        <v>Consulting</v>
      </c>
      <c r="E624" s="24" t="str">
        <f aca="false">Monthly!$D$25</f>
        <v>Consulting fee</v>
      </c>
      <c r="F624" s="24" t="str">
        <f aca="false">Monthly!$A$25</f>
        <v>Government Liaison (consulting)</v>
      </c>
      <c r="G624" s="20" t="n">
        <f aca="false">Monthly!P$25</f>
        <v>5000</v>
      </c>
      <c r="H624" s="24" t="str">
        <f aca="false">ScenarioName</f>
        <v>Base</v>
      </c>
    </row>
    <row r="625" customFormat="false" ht="15" hidden="false" customHeight="false" outlineLevel="0" collapsed="false">
      <c r="A625" s="8" t="n">
        <v>12</v>
      </c>
      <c r="B625" s="39" t="n">
        <f aca="false">EDATE(StartDate,A625-1)</f>
        <v>46722</v>
      </c>
      <c r="C625" s="24" t="str">
        <f aca="false">Monthly!$B$25</f>
        <v>EnergyWave, Inc.</v>
      </c>
      <c r="D625" s="24" t="str">
        <f aca="false">Monthly!$C$25</f>
        <v>Consulting</v>
      </c>
      <c r="E625" s="24" t="str">
        <f aca="false">Monthly!$D$25</f>
        <v>Consulting fee</v>
      </c>
      <c r="F625" s="24" t="str">
        <f aca="false">Monthly!$A$25</f>
        <v>Government Liaison (consulting)</v>
      </c>
      <c r="G625" s="20" t="n">
        <f aca="false">Monthly!Q$25</f>
        <v>5000</v>
      </c>
      <c r="H625" s="24" t="str">
        <f aca="false">ScenarioName</f>
        <v>Base</v>
      </c>
    </row>
    <row r="626" customFormat="false" ht="15" hidden="false" customHeight="false" outlineLevel="0" collapsed="false">
      <c r="A626" s="8" t="n">
        <v>13</v>
      </c>
      <c r="B626" s="39" t="n">
        <f aca="false">EDATE(StartDate,A626-1)</f>
        <v>46753</v>
      </c>
      <c r="C626" s="24" t="str">
        <f aca="false">Monthly!$B$25</f>
        <v>EnergyWave, Inc.</v>
      </c>
      <c r="D626" s="24" t="str">
        <f aca="false">Monthly!$C$25</f>
        <v>Consulting</v>
      </c>
      <c r="E626" s="24" t="str">
        <f aca="false">Monthly!$D$25</f>
        <v>Consulting fee</v>
      </c>
      <c r="F626" s="24" t="str">
        <f aca="false">Monthly!$A$25</f>
        <v>Government Liaison (consulting)</v>
      </c>
      <c r="G626" s="20" t="n">
        <f aca="false">Monthly!R$25</f>
        <v>5000</v>
      </c>
      <c r="H626" s="24" t="str">
        <f aca="false">ScenarioName</f>
        <v>Base</v>
      </c>
    </row>
    <row r="627" customFormat="false" ht="15" hidden="false" customHeight="false" outlineLevel="0" collapsed="false">
      <c r="A627" s="8" t="n">
        <v>14</v>
      </c>
      <c r="B627" s="39" t="n">
        <f aca="false">EDATE(StartDate,A627-1)</f>
        <v>46784</v>
      </c>
      <c r="C627" s="24" t="str">
        <f aca="false">Monthly!$B$25</f>
        <v>EnergyWave, Inc.</v>
      </c>
      <c r="D627" s="24" t="str">
        <f aca="false">Monthly!$C$25</f>
        <v>Consulting</v>
      </c>
      <c r="E627" s="24" t="str">
        <f aca="false">Monthly!$D$25</f>
        <v>Consulting fee</v>
      </c>
      <c r="F627" s="24" t="str">
        <f aca="false">Monthly!$A$25</f>
        <v>Government Liaison (consulting)</v>
      </c>
      <c r="G627" s="20" t="n">
        <f aca="false">Monthly!S$25</f>
        <v>5000</v>
      </c>
      <c r="H627" s="24" t="str">
        <f aca="false">ScenarioName</f>
        <v>Base</v>
      </c>
    </row>
    <row r="628" customFormat="false" ht="15" hidden="false" customHeight="false" outlineLevel="0" collapsed="false">
      <c r="A628" s="8" t="n">
        <v>15</v>
      </c>
      <c r="B628" s="39" t="n">
        <f aca="false">EDATE(StartDate,A628-1)</f>
        <v>46813</v>
      </c>
      <c r="C628" s="24" t="str">
        <f aca="false">Monthly!$B$25</f>
        <v>EnergyWave, Inc.</v>
      </c>
      <c r="D628" s="24" t="str">
        <f aca="false">Monthly!$C$25</f>
        <v>Consulting</v>
      </c>
      <c r="E628" s="24" t="str">
        <f aca="false">Monthly!$D$25</f>
        <v>Consulting fee</v>
      </c>
      <c r="F628" s="24" t="str">
        <f aca="false">Monthly!$A$25</f>
        <v>Government Liaison (consulting)</v>
      </c>
      <c r="G628" s="20" t="n">
        <f aca="false">Monthly!T$25</f>
        <v>5000</v>
      </c>
      <c r="H628" s="24" t="str">
        <f aca="false">ScenarioName</f>
        <v>Base</v>
      </c>
    </row>
    <row r="629" customFormat="false" ht="15" hidden="false" customHeight="false" outlineLevel="0" collapsed="false">
      <c r="A629" s="8" t="n">
        <v>16</v>
      </c>
      <c r="B629" s="39" t="n">
        <f aca="false">EDATE(StartDate,A629-1)</f>
        <v>46844</v>
      </c>
      <c r="C629" s="24" t="str">
        <f aca="false">Monthly!$B$25</f>
        <v>EnergyWave, Inc.</v>
      </c>
      <c r="D629" s="24" t="str">
        <f aca="false">Monthly!$C$25</f>
        <v>Consulting</v>
      </c>
      <c r="E629" s="24" t="str">
        <f aca="false">Monthly!$D$25</f>
        <v>Consulting fee</v>
      </c>
      <c r="F629" s="24" t="str">
        <f aca="false">Monthly!$A$25</f>
        <v>Government Liaison (consulting)</v>
      </c>
      <c r="G629" s="20" t="n">
        <f aca="false">Monthly!U$25</f>
        <v>5000</v>
      </c>
      <c r="H629" s="24" t="str">
        <f aca="false">ScenarioName</f>
        <v>Base</v>
      </c>
    </row>
    <row r="630" customFormat="false" ht="15" hidden="false" customHeight="false" outlineLevel="0" collapsed="false">
      <c r="A630" s="8" t="n">
        <v>17</v>
      </c>
      <c r="B630" s="39" t="n">
        <f aca="false">EDATE(StartDate,A630-1)</f>
        <v>46874</v>
      </c>
      <c r="C630" s="24" t="str">
        <f aca="false">Monthly!$B$25</f>
        <v>EnergyWave, Inc.</v>
      </c>
      <c r="D630" s="24" t="str">
        <f aca="false">Monthly!$C$25</f>
        <v>Consulting</v>
      </c>
      <c r="E630" s="24" t="str">
        <f aca="false">Monthly!$D$25</f>
        <v>Consulting fee</v>
      </c>
      <c r="F630" s="24" t="str">
        <f aca="false">Monthly!$A$25</f>
        <v>Government Liaison (consulting)</v>
      </c>
      <c r="G630" s="20" t="n">
        <f aca="false">Monthly!V$25</f>
        <v>5000</v>
      </c>
      <c r="H630" s="24" t="str">
        <f aca="false">ScenarioName</f>
        <v>Base</v>
      </c>
    </row>
    <row r="631" customFormat="false" ht="15" hidden="false" customHeight="false" outlineLevel="0" collapsed="false">
      <c r="A631" s="8" t="n">
        <v>18</v>
      </c>
      <c r="B631" s="39" t="n">
        <f aca="false">EDATE(StartDate,A631-1)</f>
        <v>46905</v>
      </c>
      <c r="C631" s="24" t="str">
        <f aca="false">Monthly!$B$25</f>
        <v>EnergyWave, Inc.</v>
      </c>
      <c r="D631" s="24" t="str">
        <f aca="false">Monthly!$C$25</f>
        <v>Consulting</v>
      </c>
      <c r="E631" s="24" t="str">
        <f aca="false">Monthly!$D$25</f>
        <v>Consulting fee</v>
      </c>
      <c r="F631" s="24" t="str">
        <f aca="false">Monthly!$A$25</f>
        <v>Government Liaison (consulting)</v>
      </c>
      <c r="G631" s="20" t="n">
        <f aca="false">Monthly!W$25</f>
        <v>5000</v>
      </c>
      <c r="H631" s="24" t="str">
        <f aca="false">ScenarioName</f>
        <v>Base</v>
      </c>
    </row>
    <row r="632" customFormat="false" ht="15" hidden="false" customHeight="false" outlineLevel="0" collapsed="false">
      <c r="A632" s="8" t="n">
        <v>19</v>
      </c>
      <c r="B632" s="39" t="n">
        <f aca="false">EDATE(StartDate,A632-1)</f>
        <v>46935</v>
      </c>
      <c r="C632" s="24" t="str">
        <f aca="false">Monthly!$B$25</f>
        <v>EnergyWave, Inc.</v>
      </c>
      <c r="D632" s="24" t="str">
        <f aca="false">Monthly!$C$25</f>
        <v>Consulting</v>
      </c>
      <c r="E632" s="24" t="str">
        <f aca="false">Monthly!$D$25</f>
        <v>Consulting fee</v>
      </c>
      <c r="F632" s="24" t="str">
        <f aca="false">Monthly!$A$25</f>
        <v>Government Liaison (consulting)</v>
      </c>
      <c r="G632" s="20" t="n">
        <f aca="false">Monthly!X$25</f>
        <v>5000</v>
      </c>
      <c r="H632" s="24" t="str">
        <f aca="false">ScenarioName</f>
        <v>Base</v>
      </c>
    </row>
    <row r="633" customFormat="false" ht="15" hidden="false" customHeight="false" outlineLevel="0" collapsed="false">
      <c r="A633" s="8" t="n">
        <v>20</v>
      </c>
      <c r="B633" s="39" t="n">
        <f aca="false">EDATE(StartDate,A633-1)</f>
        <v>46966</v>
      </c>
      <c r="C633" s="24" t="str">
        <f aca="false">Monthly!$B$25</f>
        <v>EnergyWave, Inc.</v>
      </c>
      <c r="D633" s="24" t="str">
        <f aca="false">Monthly!$C$25</f>
        <v>Consulting</v>
      </c>
      <c r="E633" s="24" t="str">
        <f aca="false">Monthly!$D$25</f>
        <v>Consulting fee</v>
      </c>
      <c r="F633" s="24" t="str">
        <f aca="false">Monthly!$A$25</f>
        <v>Government Liaison (consulting)</v>
      </c>
      <c r="G633" s="20" t="n">
        <f aca="false">Monthly!Y$25</f>
        <v>5000</v>
      </c>
      <c r="H633" s="24" t="str">
        <f aca="false">ScenarioName</f>
        <v>Base</v>
      </c>
    </row>
    <row r="634" customFormat="false" ht="15" hidden="false" customHeight="false" outlineLevel="0" collapsed="false">
      <c r="A634" s="8" t="n">
        <v>21</v>
      </c>
      <c r="B634" s="39" t="n">
        <f aca="false">EDATE(StartDate,A634-1)</f>
        <v>46997</v>
      </c>
      <c r="C634" s="24" t="str">
        <f aca="false">Monthly!$B$25</f>
        <v>EnergyWave, Inc.</v>
      </c>
      <c r="D634" s="24" t="str">
        <f aca="false">Monthly!$C$25</f>
        <v>Consulting</v>
      </c>
      <c r="E634" s="24" t="str">
        <f aca="false">Monthly!$D$25</f>
        <v>Consulting fee</v>
      </c>
      <c r="F634" s="24" t="str">
        <f aca="false">Monthly!$A$25</f>
        <v>Government Liaison (consulting)</v>
      </c>
      <c r="G634" s="20" t="n">
        <f aca="false">Monthly!Z$25</f>
        <v>5000</v>
      </c>
      <c r="H634" s="24" t="str">
        <f aca="false">ScenarioName</f>
        <v>Base</v>
      </c>
    </row>
    <row r="635" customFormat="false" ht="15" hidden="false" customHeight="false" outlineLevel="0" collapsed="false">
      <c r="A635" s="8" t="n">
        <v>22</v>
      </c>
      <c r="B635" s="39" t="n">
        <f aca="false">EDATE(StartDate,A635-1)</f>
        <v>47027</v>
      </c>
      <c r="C635" s="24" t="str">
        <f aca="false">Monthly!$B$25</f>
        <v>EnergyWave, Inc.</v>
      </c>
      <c r="D635" s="24" t="str">
        <f aca="false">Monthly!$C$25</f>
        <v>Consulting</v>
      </c>
      <c r="E635" s="24" t="str">
        <f aca="false">Monthly!$D$25</f>
        <v>Consulting fee</v>
      </c>
      <c r="F635" s="24" t="str">
        <f aca="false">Monthly!$A$25</f>
        <v>Government Liaison (consulting)</v>
      </c>
      <c r="G635" s="20" t="n">
        <f aca="false">Monthly!AA$25</f>
        <v>5000</v>
      </c>
      <c r="H635" s="24" t="str">
        <f aca="false">ScenarioName</f>
        <v>Base</v>
      </c>
    </row>
    <row r="636" customFormat="false" ht="15" hidden="false" customHeight="false" outlineLevel="0" collapsed="false">
      <c r="A636" s="8" t="n">
        <v>23</v>
      </c>
      <c r="B636" s="39" t="n">
        <f aca="false">EDATE(StartDate,A636-1)</f>
        <v>47058</v>
      </c>
      <c r="C636" s="24" t="str">
        <f aca="false">Monthly!$B$25</f>
        <v>EnergyWave, Inc.</v>
      </c>
      <c r="D636" s="24" t="str">
        <f aca="false">Monthly!$C$25</f>
        <v>Consulting</v>
      </c>
      <c r="E636" s="24" t="str">
        <f aca="false">Monthly!$D$25</f>
        <v>Consulting fee</v>
      </c>
      <c r="F636" s="24" t="str">
        <f aca="false">Monthly!$A$25</f>
        <v>Government Liaison (consulting)</v>
      </c>
      <c r="G636" s="20" t="n">
        <f aca="false">Monthly!AB$25</f>
        <v>5000</v>
      </c>
      <c r="H636" s="24" t="str">
        <f aca="false">ScenarioName</f>
        <v>Base</v>
      </c>
    </row>
    <row r="637" customFormat="false" ht="15" hidden="false" customHeight="false" outlineLevel="0" collapsed="false">
      <c r="A637" s="8" t="n">
        <v>24</v>
      </c>
      <c r="B637" s="39" t="n">
        <f aca="false">EDATE(StartDate,A637-1)</f>
        <v>47088</v>
      </c>
      <c r="C637" s="24" t="str">
        <f aca="false">Monthly!$B$25</f>
        <v>EnergyWave, Inc.</v>
      </c>
      <c r="D637" s="24" t="str">
        <f aca="false">Monthly!$C$25</f>
        <v>Consulting</v>
      </c>
      <c r="E637" s="24" t="str">
        <f aca="false">Monthly!$D$25</f>
        <v>Consulting fee</v>
      </c>
      <c r="F637" s="24" t="str">
        <f aca="false">Monthly!$A$25</f>
        <v>Government Liaison (consulting)</v>
      </c>
      <c r="G637" s="20" t="n">
        <f aca="false">Monthly!AC$25</f>
        <v>5000</v>
      </c>
      <c r="H637" s="24" t="str">
        <f aca="false">ScenarioName</f>
        <v>Base</v>
      </c>
    </row>
    <row r="638" customFormat="false" ht="15" hidden="false" customHeight="false" outlineLevel="0" collapsed="false">
      <c r="A638" s="8" t="n">
        <v>25</v>
      </c>
      <c r="B638" s="39" t="n">
        <f aca="false">EDATE(StartDate,A638-1)</f>
        <v>47119</v>
      </c>
      <c r="C638" s="24" t="str">
        <f aca="false">Monthly!$B$25</f>
        <v>EnergyWave, Inc.</v>
      </c>
      <c r="D638" s="24" t="str">
        <f aca="false">Monthly!$C$25</f>
        <v>Consulting</v>
      </c>
      <c r="E638" s="24" t="str">
        <f aca="false">Monthly!$D$25</f>
        <v>Consulting fee</v>
      </c>
      <c r="F638" s="24" t="str">
        <f aca="false">Monthly!$A$25</f>
        <v>Government Liaison (consulting)</v>
      </c>
      <c r="G638" s="20" t="n">
        <f aca="false">Monthly!AD$25</f>
        <v>5000</v>
      </c>
      <c r="H638" s="24" t="str">
        <f aca="false">ScenarioName</f>
        <v>Base</v>
      </c>
    </row>
    <row r="639" customFormat="false" ht="15" hidden="false" customHeight="false" outlineLevel="0" collapsed="false">
      <c r="A639" s="8" t="n">
        <v>26</v>
      </c>
      <c r="B639" s="39" t="n">
        <f aca="false">EDATE(StartDate,A639-1)</f>
        <v>47150</v>
      </c>
      <c r="C639" s="24" t="str">
        <f aca="false">Monthly!$B$25</f>
        <v>EnergyWave, Inc.</v>
      </c>
      <c r="D639" s="24" t="str">
        <f aca="false">Monthly!$C$25</f>
        <v>Consulting</v>
      </c>
      <c r="E639" s="24" t="str">
        <f aca="false">Monthly!$D$25</f>
        <v>Consulting fee</v>
      </c>
      <c r="F639" s="24" t="str">
        <f aca="false">Monthly!$A$25</f>
        <v>Government Liaison (consulting)</v>
      </c>
      <c r="G639" s="20" t="n">
        <f aca="false">Monthly!AE$25</f>
        <v>5000</v>
      </c>
      <c r="H639" s="24" t="str">
        <f aca="false">ScenarioName</f>
        <v>Base</v>
      </c>
    </row>
    <row r="640" customFormat="false" ht="15" hidden="false" customHeight="false" outlineLevel="0" collapsed="false">
      <c r="A640" s="8" t="n">
        <v>27</v>
      </c>
      <c r="B640" s="39" t="n">
        <f aca="false">EDATE(StartDate,A640-1)</f>
        <v>47178</v>
      </c>
      <c r="C640" s="24" t="str">
        <f aca="false">Monthly!$B$25</f>
        <v>EnergyWave, Inc.</v>
      </c>
      <c r="D640" s="24" t="str">
        <f aca="false">Monthly!$C$25</f>
        <v>Consulting</v>
      </c>
      <c r="E640" s="24" t="str">
        <f aca="false">Monthly!$D$25</f>
        <v>Consulting fee</v>
      </c>
      <c r="F640" s="24" t="str">
        <f aca="false">Monthly!$A$25</f>
        <v>Government Liaison (consulting)</v>
      </c>
      <c r="G640" s="20" t="n">
        <f aca="false">Monthly!AF$25</f>
        <v>5000</v>
      </c>
      <c r="H640" s="24" t="str">
        <f aca="false">ScenarioName</f>
        <v>Base</v>
      </c>
    </row>
    <row r="641" customFormat="false" ht="15" hidden="false" customHeight="false" outlineLevel="0" collapsed="false">
      <c r="A641" s="8" t="n">
        <v>28</v>
      </c>
      <c r="B641" s="39" t="n">
        <f aca="false">EDATE(StartDate,A641-1)</f>
        <v>47209</v>
      </c>
      <c r="C641" s="24" t="str">
        <f aca="false">Monthly!$B$25</f>
        <v>EnergyWave, Inc.</v>
      </c>
      <c r="D641" s="24" t="str">
        <f aca="false">Monthly!$C$25</f>
        <v>Consulting</v>
      </c>
      <c r="E641" s="24" t="str">
        <f aca="false">Monthly!$D$25</f>
        <v>Consulting fee</v>
      </c>
      <c r="F641" s="24" t="str">
        <f aca="false">Monthly!$A$25</f>
        <v>Government Liaison (consulting)</v>
      </c>
      <c r="G641" s="20" t="n">
        <f aca="false">Monthly!AG$25</f>
        <v>5000</v>
      </c>
      <c r="H641" s="24" t="str">
        <f aca="false">ScenarioName</f>
        <v>Base</v>
      </c>
    </row>
    <row r="642" customFormat="false" ht="15" hidden="false" customHeight="false" outlineLevel="0" collapsed="false">
      <c r="A642" s="8" t="n">
        <v>29</v>
      </c>
      <c r="B642" s="39" t="n">
        <f aca="false">EDATE(StartDate,A642-1)</f>
        <v>47239</v>
      </c>
      <c r="C642" s="24" t="str">
        <f aca="false">Monthly!$B$25</f>
        <v>EnergyWave, Inc.</v>
      </c>
      <c r="D642" s="24" t="str">
        <f aca="false">Monthly!$C$25</f>
        <v>Consulting</v>
      </c>
      <c r="E642" s="24" t="str">
        <f aca="false">Monthly!$D$25</f>
        <v>Consulting fee</v>
      </c>
      <c r="F642" s="24" t="str">
        <f aca="false">Monthly!$A$25</f>
        <v>Government Liaison (consulting)</v>
      </c>
      <c r="G642" s="20" t="n">
        <f aca="false">Monthly!AH$25</f>
        <v>5000</v>
      </c>
      <c r="H642" s="24" t="str">
        <f aca="false">ScenarioName</f>
        <v>Base</v>
      </c>
    </row>
    <row r="643" customFormat="false" ht="15" hidden="false" customHeight="false" outlineLevel="0" collapsed="false">
      <c r="A643" s="8" t="n">
        <v>30</v>
      </c>
      <c r="B643" s="39" t="n">
        <f aca="false">EDATE(StartDate,A643-1)</f>
        <v>47270</v>
      </c>
      <c r="C643" s="24" t="str">
        <f aca="false">Monthly!$B$25</f>
        <v>EnergyWave, Inc.</v>
      </c>
      <c r="D643" s="24" t="str">
        <f aca="false">Monthly!$C$25</f>
        <v>Consulting</v>
      </c>
      <c r="E643" s="24" t="str">
        <f aca="false">Monthly!$D$25</f>
        <v>Consulting fee</v>
      </c>
      <c r="F643" s="24" t="str">
        <f aca="false">Monthly!$A$25</f>
        <v>Government Liaison (consulting)</v>
      </c>
      <c r="G643" s="20" t="n">
        <f aca="false">Monthly!AI$25</f>
        <v>5000</v>
      </c>
      <c r="H643" s="24" t="str">
        <f aca="false">ScenarioName</f>
        <v>Base</v>
      </c>
    </row>
    <row r="644" customFormat="false" ht="15" hidden="false" customHeight="false" outlineLevel="0" collapsed="false">
      <c r="A644" s="8" t="n">
        <v>31</v>
      </c>
      <c r="B644" s="39" t="n">
        <f aca="false">EDATE(StartDate,A644-1)</f>
        <v>47300</v>
      </c>
      <c r="C644" s="24" t="str">
        <f aca="false">Monthly!$B$25</f>
        <v>EnergyWave, Inc.</v>
      </c>
      <c r="D644" s="24" t="str">
        <f aca="false">Monthly!$C$25</f>
        <v>Consulting</v>
      </c>
      <c r="E644" s="24" t="str">
        <f aca="false">Monthly!$D$25</f>
        <v>Consulting fee</v>
      </c>
      <c r="F644" s="24" t="str">
        <f aca="false">Monthly!$A$25</f>
        <v>Government Liaison (consulting)</v>
      </c>
      <c r="G644" s="20" t="n">
        <f aca="false">Monthly!AJ$25</f>
        <v>5000</v>
      </c>
      <c r="H644" s="24" t="str">
        <f aca="false">ScenarioName</f>
        <v>Base</v>
      </c>
    </row>
    <row r="645" customFormat="false" ht="15" hidden="false" customHeight="false" outlineLevel="0" collapsed="false">
      <c r="A645" s="8" t="n">
        <v>32</v>
      </c>
      <c r="B645" s="39" t="n">
        <f aca="false">EDATE(StartDate,A645-1)</f>
        <v>47331</v>
      </c>
      <c r="C645" s="24" t="str">
        <f aca="false">Monthly!$B$25</f>
        <v>EnergyWave, Inc.</v>
      </c>
      <c r="D645" s="24" t="str">
        <f aca="false">Monthly!$C$25</f>
        <v>Consulting</v>
      </c>
      <c r="E645" s="24" t="str">
        <f aca="false">Monthly!$D$25</f>
        <v>Consulting fee</v>
      </c>
      <c r="F645" s="24" t="str">
        <f aca="false">Monthly!$A$25</f>
        <v>Government Liaison (consulting)</v>
      </c>
      <c r="G645" s="20" t="n">
        <f aca="false">Monthly!AK$25</f>
        <v>5000</v>
      </c>
      <c r="H645" s="24" t="str">
        <f aca="false">ScenarioName</f>
        <v>Base</v>
      </c>
    </row>
    <row r="646" customFormat="false" ht="15" hidden="false" customHeight="false" outlineLevel="0" collapsed="false">
      <c r="A646" s="8" t="n">
        <v>33</v>
      </c>
      <c r="B646" s="39" t="n">
        <f aca="false">EDATE(StartDate,A646-1)</f>
        <v>47362</v>
      </c>
      <c r="C646" s="24" t="str">
        <f aca="false">Monthly!$B$25</f>
        <v>EnergyWave, Inc.</v>
      </c>
      <c r="D646" s="24" t="str">
        <f aca="false">Monthly!$C$25</f>
        <v>Consulting</v>
      </c>
      <c r="E646" s="24" t="str">
        <f aca="false">Monthly!$D$25</f>
        <v>Consulting fee</v>
      </c>
      <c r="F646" s="24" t="str">
        <f aca="false">Monthly!$A$25</f>
        <v>Government Liaison (consulting)</v>
      </c>
      <c r="G646" s="20" t="n">
        <f aca="false">Monthly!AL$25</f>
        <v>5000</v>
      </c>
      <c r="H646" s="24" t="str">
        <f aca="false">ScenarioName</f>
        <v>Base</v>
      </c>
    </row>
    <row r="647" customFormat="false" ht="15" hidden="false" customHeight="false" outlineLevel="0" collapsed="false">
      <c r="A647" s="8" t="n">
        <v>34</v>
      </c>
      <c r="B647" s="39" t="n">
        <f aca="false">EDATE(StartDate,A647-1)</f>
        <v>47392</v>
      </c>
      <c r="C647" s="24" t="str">
        <f aca="false">Monthly!$B$25</f>
        <v>EnergyWave, Inc.</v>
      </c>
      <c r="D647" s="24" t="str">
        <f aca="false">Monthly!$C$25</f>
        <v>Consulting</v>
      </c>
      <c r="E647" s="24" t="str">
        <f aca="false">Monthly!$D$25</f>
        <v>Consulting fee</v>
      </c>
      <c r="F647" s="24" t="str">
        <f aca="false">Monthly!$A$25</f>
        <v>Government Liaison (consulting)</v>
      </c>
      <c r="G647" s="20" t="n">
        <f aca="false">Monthly!AM$25</f>
        <v>5000</v>
      </c>
      <c r="H647" s="24" t="str">
        <f aca="false">ScenarioName</f>
        <v>Base</v>
      </c>
    </row>
    <row r="648" customFormat="false" ht="15" hidden="false" customHeight="false" outlineLevel="0" collapsed="false">
      <c r="A648" s="8" t="n">
        <v>35</v>
      </c>
      <c r="B648" s="39" t="n">
        <f aca="false">EDATE(StartDate,A648-1)</f>
        <v>47423</v>
      </c>
      <c r="C648" s="24" t="str">
        <f aca="false">Monthly!$B$25</f>
        <v>EnergyWave, Inc.</v>
      </c>
      <c r="D648" s="24" t="str">
        <f aca="false">Monthly!$C$25</f>
        <v>Consulting</v>
      </c>
      <c r="E648" s="24" t="str">
        <f aca="false">Monthly!$D$25</f>
        <v>Consulting fee</v>
      </c>
      <c r="F648" s="24" t="str">
        <f aca="false">Monthly!$A$25</f>
        <v>Government Liaison (consulting)</v>
      </c>
      <c r="G648" s="20" t="n">
        <f aca="false">Monthly!AN$25</f>
        <v>5000</v>
      </c>
      <c r="H648" s="24" t="str">
        <f aca="false">ScenarioName</f>
        <v>Base</v>
      </c>
    </row>
    <row r="649" customFormat="false" ht="15" hidden="false" customHeight="false" outlineLevel="0" collapsed="false">
      <c r="A649" s="8" t="n">
        <v>36</v>
      </c>
      <c r="B649" s="39" t="n">
        <f aca="false">EDATE(StartDate,A649-1)</f>
        <v>47453</v>
      </c>
      <c r="C649" s="24" t="str">
        <f aca="false">Monthly!$B$25</f>
        <v>EnergyWave, Inc.</v>
      </c>
      <c r="D649" s="24" t="str">
        <f aca="false">Monthly!$C$25</f>
        <v>Consulting</v>
      </c>
      <c r="E649" s="24" t="str">
        <f aca="false">Monthly!$D$25</f>
        <v>Consulting fee</v>
      </c>
      <c r="F649" s="24" t="str">
        <f aca="false">Monthly!$A$25</f>
        <v>Government Liaison (consulting)</v>
      </c>
      <c r="G649" s="20" t="n">
        <f aca="false">Monthly!AO$25</f>
        <v>5000</v>
      </c>
      <c r="H649" s="24" t="str">
        <f aca="false">ScenarioName</f>
        <v>Base</v>
      </c>
    </row>
    <row r="650" customFormat="false" ht="15" hidden="false" customHeight="false" outlineLevel="0" collapsed="false">
      <c r="A650" s="8" t="n">
        <v>1</v>
      </c>
      <c r="B650" s="39" t="n">
        <f aca="false">EDATE(StartDate,A650-1)</f>
        <v>46388</v>
      </c>
      <c r="C650" s="24" t="str">
        <f aca="false">Monthly!$B$26</f>
        <v>EnergyWave, Inc.</v>
      </c>
      <c r="D650" s="24" t="str">
        <f aca="false">Monthly!$C$26</f>
        <v>Payroll</v>
      </c>
      <c r="E650" s="24" t="str">
        <f aca="false">Monthly!$D$26</f>
        <v>Relocation</v>
      </c>
      <c r="F650" s="24" t="str">
        <f aca="false">Monthly!$A$26</f>
        <v>Relocation (one-time, all hires)</v>
      </c>
      <c r="G650" s="20" t="n">
        <f aca="false">Monthly!F$26</f>
        <v>10000</v>
      </c>
      <c r="H650" s="24" t="str">
        <f aca="false">ScenarioName</f>
        <v>Base</v>
      </c>
    </row>
    <row r="651" customFormat="false" ht="15" hidden="false" customHeight="false" outlineLevel="0" collapsed="false">
      <c r="A651" s="8" t="n">
        <v>2</v>
      </c>
      <c r="B651" s="39" t="n">
        <f aca="false">EDATE(StartDate,A651-1)</f>
        <v>46419</v>
      </c>
      <c r="C651" s="24" t="str">
        <f aca="false">Monthly!$B$26</f>
        <v>EnergyWave, Inc.</v>
      </c>
      <c r="D651" s="24" t="str">
        <f aca="false">Monthly!$C$26</f>
        <v>Payroll</v>
      </c>
      <c r="E651" s="24" t="str">
        <f aca="false">Monthly!$D$26</f>
        <v>Relocation</v>
      </c>
      <c r="F651" s="24" t="str">
        <f aca="false">Monthly!$A$26</f>
        <v>Relocation (one-time, all hires)</v>
      </c>
      <c r="G651" s="20" t="n">
        <f aca="false">Monthly!G$26</f>
        <v>65000</v>
      </c>
      <c r="H651" s="24" t="str">
        <f aca="false">ScenarioName</f>
        <v>Base</v>
      </c>
    </row>
    <row r="652" customFormat="false" ht="15" hidden="false" customHeight="false" outlineLevel="0" collapsed="false">
      <c r="A652" s="8" t="n">
        <v>3</v>
      </c>
      <c r="B652" s="39" t="n">
        <f aca="false">EDATE(StartDate,A652-1)</f>
        <v>46447</v>
      </c>
      <c r="C652" s="24" t="str">
        <f aca="false">Monthly!$B$26</f>
        <v>EnergyWave, Inc.</v>
      </c>
      <c r="D652" s="24" t="str">
        <f aca="false">Monthly!$C$26</f>
        <v>Payroll</v>
      </c>
      <c r="E652" s="24" t="str">
        <f aca="false">Monthly!$D$26</f>
        <v>Relocation</v>
      </c>
      <c r="F652" s="24" t="str">
        <f aca="false">Monthly!$A$26</f>
        <v>Relocation (one-time, all hires)</v>
      </c>
      <c r="G652" s="20" t="n">
        <f aca="false">Monthly!H$26</f>
        <v>55000</v>
      </c>
      <c r="H652" s="24" t="str">
        <f aca="false">ScenarioName</f>
        <v>Base</v>
      </c>
    </row>
    <row r="653" customFormat="false" ht="15" hidden="false" customHeight="false" outlineLevel="0" collapsed="false">
      <c r="A653" s="8" t="n">
        <v>4</v>
      </c>
      <c r="B653" s="39" t="n">
        <f aca="false">EDATE(StartDate,A653-1)</f>
        <v>46478</v>
      </c>
      <c r="C653" s="24" t="str">
        <f aca="false">Monthly!$B$26</f>
        <v>EnergyWave, Inc.</v>
      </c>
      <c r="D653" s="24" t="str">
        <f aca="false">Monthly!$C$26</f>
        <v>Payroll</v>
      </c>
      <c r="E653" s="24" t="str">
        <f aca="false">Monthly!$D$26</f>
        <v>Relocation</v>
      </c>
      <c r="F653" s="24" t="str">
        <f aca="false">Monthly!$A$26</f>
        <v>Relocation (one-time, all hires)</v>
      </c>
      <c r="G653" s="20" t="n">
        <f aca="false">Monthly!I$26</f>
        <v>40000</v>
      </c>
      <c r="H653" s="24" t="str">
        <f aca="false">ScenarioName</f>
        <v>Base</v>
      </c>
    </row>
    <row r="654" customFormat="false" ht="15" hidden="false" customHeight="false" outlineLevel="0" collapsed="false">
      <c r="A654" s="8" t="n">
        <v>5</v>
      </c>
      <c r="B654" s="39" t="n">
        <f aca="false">EDATE(StartDate,A654-1)</f>
        <v>46508</v>
      </c>
      <c r="C654" s="24" t="str">
        <f aca="false">Monthly!$B$26</f>
        <v>EnergyWave, Inc.</v>
      </c>
      <c r="D654" s="24" t="str">
        <f aca="false">Monthly!$C$26</f>
        <v>Payroll</v>
      </c>
      <c r="E654" s="24" t="str">
        <f aca="false">Monthly!$D$26</f>
        <v>Relocation</v>
      </c>
      <c r="F654" s="24" t="str">
        <f aca="false">Monthly!$A$26</f>
        <v>Relocation (one-time, all hires)</v>
      </c>
      <c r="G654" s="20" t="n">
        <f aca="false">Monthly!J$26</f>
        <v>25000</v>
      </c>
      <c r="H654" s="24" t="str">
        <f aca="false">ScenarioName</f>
        <v>Base</v>
      </c>
    </row>
    <row r="655" customFormat="false" ht="15" hidden="false" customHeight="false" outlineLevel="0" collapsed="false">
      <c r="A655" s="8" t="n">
        <v>6</v>
      </c>
      <c r="B655" s="39" t="n">
        <f aca="false">EDATE(StartDate,A655-1)</f>
        <v>46539</v>
      </c>
      <c r="C655" s="24" t="str">
        <f aca="false">Monthly!$B$26</f>
        <v>EnergyWave, Inc.</v>
      </c>
      <c r="D655" s="24" t="str">
        <f aca="false">Monthly!$C$26</f>
        <v>Payroll</v>
      </c>
      <c r="E655" s="24" t="str">
        <f aca="false">Monthly!$D$26</f>
        <v>Relocation</v>
      </c>
      <c r="F655" s="24" t="str">
        <f aca="false">Monthly!$A$26</f>
        <v>Relocation (one-time, all hires)</v>
      </c>
      <c r="G655" s="20" t="n">
        <f aca="false">Monthly!K$26</f>
        <v>0</v>
      </c>
      <c r="H655" s="24" t="str">
        <f aca="false">ScenarioName</f>
        <v>Base</v>
      </c>
    </row>
    <row r="656" customFormat="false" ht="15" hidden="false" customHeight="false" outlineLevel="0" collapsed="false">
      <c r="A656" s="8" t="n">
        <v>7</v>
      </c>
      <c r="B656" s="39" t="n">
        <f aca="false">EDATE(StartDate,A656-1)</f>
        <v>46569</v>
      </c>
      <c r="C656" s="24" t="str">
        <f aca="false">Monthly!$B$26</f>
        <v>EnergyWave, Inc.</v>
      </c>
      <c r="D656" s="24" t="str">
        <f aca="false">Monthly!$C$26</f>
        <v>Payroll</v>
      </c>
      <c r="E656" s="24" t="str">
        <f aca="false">Monthly!$D$26</f>
        <v>Relocation</v>
      </c>
      <c r="F656" s="24" t="str">
        <f aca="false">Monthly!$A$26</f>
        <v>Relocation (one-time, all hires)</v>
      </c>
      <c r="G656" s="20" t="n">
        <f aca="false">Monthly!L$26</f>
        <v>0</v>
      </c>
      <c r="H656" s="24" t="str">
        <f aca="false">ScenarioName</f>
        <v>Base</v>
      </c>
    </row>
    <row r="657" customFormat="false" ht="15" hidden="false" customHeight="false" outlineLevel="0" collapsed="false">
      <c r="A657" s="8" t="n">
        <v>8</v>
      </c>
      <c r="B657" s="39" t="n">
        <f aca="false">EDATE(StartDate,A657-1)</f>
        <v>46600</v>
      </c>
      <c r="C657" s="24" t="str">
        <f aca="false">Monthly!$B$26</f>
        <v>EnergyWave, Inc.</v>
      </c>
      <c r="D657" s="24" t="str">
        <f aca="false">Monthly!$C$26</f>
        <v>Payroll</v>
      </c>
      <c r="E657" s="24" t="str">
        <f aca="false">Monthly!$D$26</f>
        <v>Relocation</v>
      </c>
      <c r="F657" s="24" t="str">
        <f aca="false">Monthly!$A$26</f>
        <v>Relocation (one-time, all hires)</v>
      </c>
      <c r="G657" s="20" t="n">
        <f aca="false">Monthly!M$26</f>
        <v>0</v>
      </c>
      <c r="H657" s="24" t="str">
        <f aca="false">ScenarioName</f>
        <v>Base</v>
      </c>
    </row>
    <row r="658" customFormat="false" ht="15" hidden="false" customHeight="false" outlineLevel="0" collapsed="false">
      <c r="A658" s="8" t="n">
        <v>9</v>
      </c>
      <c r="B658" s="39" t="n">
        <f aca="false">EDATE(StartDate,A658-1)</f>
        <v>46631</v>
      </c>
      <c r="C658" s="24" t="str">
        <f aca="false">Monthly!$B$26</f>
        <v>EnergyWave, Inc.</v>
      </c>
      <c r="D658" s="24" t="str">
        <f aca="false">Monthly!$C$26</f>
        <v>Payroll</v>
      </c>
      <c r="E658" s="24" t="str">
        <f aca="false">Monthly!$D$26</f>
        <v>Relocation</v>
      </c>
      <c r="F658" s="24" t="str">
        <f aca="false">Monthly!$A$26</f>
        <v>Relocation (one-time, all hires)</v>
      </c>
      <c r="G658" s="20" t="n">
        <f aca="false">Monthly!N$26</f>
        <v>0</v>
      </c>
      <c r="H658" s="24" t="str">
        <f aca="false">ScenarioName</f>
        <v>Base</v>
      </c>
    </row>
    <row r="659" customFormat="false" ht="15" hidden="false" customHeight="false" outlineLevel="0" collapsed="false">
      <c r="A659" s="8" t="n">
        <v>10</v>
      </c>
      <c r="B659" s="39" t="n">
        <f aca="false">EDATE(StartDate,A659-1)</f>
        <v>46661</v>
      </c>
      <c r="C659" s="24" t="str">
        <f aca="false">Monthly!$B$26</f>
        <v>EnergyWave, Inc.</v>
      </c>
      <c r="D659" s="24" t="str">
        <f aca="false">Monthly!$C$26</f>
        <v>Payroll</v>
      </c>
      <c r="E659" s="24" t="str">
        <f aca="false">Monthly!$D$26</f>
        <v>Relocation</v>
      </c>
      <c r="F659" s="24" t="str">
        <f aca="false">Monthly!$A$26</f>
        <v>Relocation (one-time, all hires)</v>
      </c>
      <c r="G659" s="20" t="n">
        <f aca="false">Monthly!O$26</f>
        <v>0</v>
      </c>
      <c r="H659" s="24" t="str">
        <f aca="false">ScenarioName</f>
        <v>Base</v>
      </c>
    </row>
    <row r="660" customFormat="false" ht="15" hidden="false" customHeight="false" outlineLevel="0" collapsed="false">
      <c r="A660" s="8" t="n">
        <v>11</v>
      </c>
      <c r="B660" s="39" t="n">
        <f aca="false">EDATE(StartDate,A660-1)</f>
        <v>46692</v>
      </c>
      <c r="C660" s="24" t="str">
        <f aca="false">Monthly!$B$26</f>
        <v>EnergyWave, Inc.</v>
      </c>
      <c r="D660" s="24" t="str">
        <f aca="false">Monthly!$C$26</f>
        <v>Payroll</v>
      </c>
      <c r="E660" s="24" t="str">
        <f aca="false">Monthly!$D$26</f>
        <v>Relocation</v>
      </c>
      <c r="F660" s="24" t="str">
        <f aca="false">Monthly!$A$26</f>
        <v>Relocation (one-time, all hires)</v>
      </c>
      <c r="G660" s="20" t="n">
        <f aca="false">Monthly!P$26</f>
        <v>0</v>
      </c>
      <c r="H660" s="24" t="str">
        <f aca="false">ScenarioName</f>
        <v>Base</v>
      </c>
    </row>
    <row r="661" customFormat="false" ht="15" hidden="false" customHeight="false" outlineLevel="0" collapsed="false">
      <c r="A661" s="8" t="n">
        <v>12</v>
      </c>
      <c r="B661" s="39" t="n">
        <f aca="false">EDATE(StartDate,A661-1)</f>
        <v>46722</v>
      </c>
      <c r="C661" s="24" t="str">
        <f aca="false">Monthly!$B$26</f>
        <v>EnergyWave, Inc.</v>
      </c>
      <c r="D661" s="24" t="str">
        <f aca="false">Monthly!$C$26</f>
        <v>Payroll</v>
      </c>
      <c r="E661" s="24" t="str">
        <f aca="false">Monthly!$D$26</f>
        <v>Relocation</v>
      </c>
      <c r="F661" s="24" t="str">
        <f aca="false">Monthly!$A$26</f>
        <v>Relocation (one-time, all hires)</v>
      </c>
      <c r="G661" s="20" t="n">
        <f aca="false">Monthly!Q$26</f>
        <v>0</v>
      </c>
      <c r="H661" s="24" t="str">
        <f aca="false">ScenarioName</f>
        <v>Base</v>
      </c>
    </row>
    <row r="662" customFormat="false" ht="15" hidden="false" customHeight="false" outlineLevel="0" collapsed="false">
      <c r="A662" s="8" t="n">
        <v>13</v>
      </c>
      <c r="B662" s="39" t="n">
        <f aca="false">EDATE(StartDate,A662-1)</f>
        <v>46753</v>
      </c>
      <c r="C662" s="24" t="str">
        <f aca="false">Monthly!$B$26</f>
        <v>EnergyWave, Inc.</v>
      </c>
      <c r="D662" s="24" t="str">
        <f aca="false">Monthly!$C$26</f>
        <v>Payroll</v>
      </c>
      <c r="E662" s="24" t="str">
        <f aca="false">Monthly!$D$26</f>
        <v>Relocation</v>
      </c>
      <c r="F662" s="24" t="str">
        <f aca="false">Monthly!$A$26</f>
        <v>Relocation (one-time, all hires)</v>
      </c>
      <c r="G662" s="20" t="n">
        <f aca="false">Monthly!R$26</f>
        <v>0</v>
      </c>
      <c r="H662" s="24" t="str">
        <f aca="false">ScenarioName</f>
        <v>Base</v>
      </c>
    </row>
    <row r="663" customFormat="false" ht="15" hidden="false" customHeight="false" outlineLevel="0" collapsed="false">
      <c r="A663" s="8" t="n">
        <v>14</v>
      </c>
      <c r="B663" s="39" t="n">
        <f aca="false">EDATE(StartDate,A663-1)</f>
        <v>46784</v>
      </c>
      <c r="C663" s="24" t="str">
        <f aca="false">Monthly!$B$26</f>
        <v>EnergyWave, Inc.</v>
      </c>
      <c r="D663" s="24" t="str">
        <f aca="false">Monthly!$C$26</f>
        <v>Payroll</v>
      </c>
      <c r="E663" s="24" t="str">
        <f aca="false">Monthly!$D$26</f>
        <v>Relocation</v>
      </c>
      <c r="F663" s="24" t="str">
        <f aca="false">Monthly!$A$26</f>
        <v>Relocation (one-time, all hires)</v>
      </c>
      <c r="G663" s="20" t="n">
        <f aca="false">Monthly!S$26</f>
        <v>0</v>
      </c>
      <c r="H663" s="24" t="str">
        <f aca="false">ScenarioName</f>
        <v>Base</v>
      </c>
    </row>
    <row r="664" customFormat="false" ht="15" hidden="false" customHeight="false" outlineLevel="0" collapsed="false">
      <c r="A664" s="8" t="n">
        <v>15</v>
      </c>
      <c r="B664" s="39" t="n">
        <f aca="false">EDATE(StartDate,A664-1)</f>
        <v>46813</v>
      </c>
      <c r="C664" s="24" t="str">
        <f aca="false">Monthly!$B$26</f>
        <v>EnergyWave, Inc.</v>
      </c>
      <c r="D664" s="24" t="str">
        <f aca="false">Monthly!$C$26</f>
        <v>Payroll</v>
      </c>
      <c r="E664" s="24" t="str">
        <f aca="false">Monthly!$D$26</f>
        <v>Relocation</v>
      </c>
      <c r="F664" s="24" t="str">
        <f aca="false">Monthly!$A$26</f>
        <v>Relocation (one-time, all hires)</v>
      </c>
      <c r="G664" s="20" t="n">
        <f aca="false">Monthly!T$26</f>
        <v>0</v>
      </c>
      <c r="H664" s="24" t="str">
        <f aca="false">ScenarioName</f>
        <v>Base</v>
      </c>
    </row>
    <row r="665" customFormat="false" ht="15" hidden="false" customHeight="false" outlineLevel="0" collapsed="false">
      <c r="A665" s="8" t="n">
        <v>16</v>
      </c>
      <c r="B665" s="39" t="n">
        <f aca="false">EDATE(StartDate,A665-1)</f>
        <v>46844</v>
      </c>
      <c r="C665" s="24" t="str">
        <f aca="false">Monthly!$B$26</f>
        <v>EnergyWave, Inc.</v>
      </c>
      <c r="D665" s="24" t="str">
        <f aca="false">Monthly!$C$26</f>
        <v>Payroll</v>
      </c>
      <c r="E665" s="24" t="str">
        <f aca="false">Monthly!$D$26</f>
        <v>Relocation</v>
      </c>
      <c r="F665" s="24" t="str">
        <f aca="false">Monthly!$A$26</f>
        <v>Relocation (one-time, all hires)</v>
      </c>
      <c r="G665" s="20" t="n">
        <f aca="false">Monthly!U$26</f>
        <v>0</v>
      </c>
      <c r="H665" s="24" t="str">
        <f aca="false">ScenarioName</f>
        <v>Base</v>
      </c>
    </row>
    <row r="666" customFormat="false" ht="15" hidden="false" customHeight="false" outlineLevel="0" collapsed="false">
      <c r="A666" s="8" t="n">
        <v>17</v>
      </c>
      <c r="B666" s="39" t="n">
        <f aca="false">EDATE(StartDate,A666-1)</f>
        <v>46874</v>
      </c>
      <c r="C666" s="24" t="str">
        <f aca="false">Monthly!$B$26</f>
        <v>EnergyWave, Inc.</v>
      </c>
      <c r="D666" s="24" t="str">
        <f aca="false">Monthly!$C$26</f>
        <v>Payroll</v>
      </c>
      <c r="E666" s="24" t="str">
        <f aca="false">Monthly!$D$26</f>
        <v>Relocation</v>
      </c>
      <c r="F666" s="24" t="str">
        <f aca="false">Monthly!$A$26</f>
        <v>Relocation (one-time, all hires)</v>
      </c>
      <c r="G666" s="20" t="n">
        <f aca="false">Monthly!V$26</f>
        <v>0</v>
      </c>
      <c r="H666" s="24" t="str">
        <f aca="false">ScenarioName</f>
        <v>Base</v>
      </c>
    </row>
    <row r="667" customFormat="false" ht="15" hidden="false" customHeight="false" outlineLevel="0" collapsed="false">
      <c r="A667" s="8" t="n">
        <v>18</v>
      </c>
      <c r="B667" s="39" t="n">
        <f aca="false">EDATE(StartDate,A667-1)</f>
        <v>46905</v>
      </c>
      <c r="C667" s="24" t="str">
        <f aca="false">Monthly!$B$26</f>
        <v>EnergyWave, Inc.</v>
      </c>
      <c r="D667" s="24" t="str">
        <f aca="false">Monthly!$C$26</f>
        <v>Payroll</v>
      </c>
      <c r="E667" s="24" t="str">
        <f aca="false">Monthly!$D$26</f>
        <v>Relocation</v>
      </c>
      <c r="F667" s="24" t="str">
        <f aca="false">Monthly!$A$26</f>
        <v>Relocation (one-time, all hires)</v>
      </c>
      <c r="G667" s="20" t="n">
        <f aca="false">Monthly!W$26</f>
        <v>0</v>
      </c>
      <c r="H667" s="24" t="str">
        <f aca="false">ScenarioName</f>
        <v>Base</v>
      </c>
    </row>
    <row r="668" customFormat="false" ht="15" hidden="false" customHeight="false" outlineLevel="0" collapsed="false">
      <c r="A668" s="8" t="n">
        <v>19</v>
      </c>
      <c r="B668" s="39" t="n">
        <f aca="false">EDATE(StartDate,A668-1)</f>
        <v>46935</v>
      </c>
      <c r="C668" s="24" t="str">
        <f aca="false">Monthly!$B$26</f>
        <v>EnergyWave, Inc.</v>
      </c>
      <c r="D668" s="24" t="str">
        <f aca="false">Monthly!$C$26</f>
        <v>Payroll</v>
      </c>
      <c r="E668" s="24" t="str">
        <f aca="false">Monthly!$D$26</f>
        <v>Relocation</v>
      </c>
      <c r="F668" s="24" t="str">
        <f aca="false">Monthly!$A$26</f>
        <v>Relocation (one-time, all hires)</v>
      </c>
      <c r="G668" s="20" t="n">
        <f aca="false">Monthly!X$26</f>
        <v>0</v>
      </c>
      <c r="H668" s="24" t="str">
        <f aca="false">ScenarioName</f>
        <v>Base</v>
      </c>
    </row>
    <row r="669" customFormat="false" ht="15" hidden="false" customHeight="false" outlineLevel="0" collapsed="false">
      <c r="A669" s="8" t="n">
        <v>20</v>
      </c>
      <c r="B669" s="39" t="n">
        <f aca="false">EDATE(StartDate,A669-1)</f>
        <v>46966</v>
      </c>
      <c r="C669" s="24" t="str">
        <f aca="false">Monthly!$B$26</f>
        <v>EnergyWave, Inc.</v>
      </c>
      <c r="D669" s="24" t="str">
        <f aca="false">Monthly!$C$26</f>
        <v>Payroll</v>
      </c>
      <c r="E669" s="24" t="str">
        <f aca="false">Monthly!$D$26</f>
        <v>Relocation</v>
      </c>
      <c r="F669" s="24" t="str">
        <f aca="false">Monthly!$A$26</f>
        <v>Relocation (one-time, all hires)</v>
      </c>
      <c r="G669" s="20" t="n">
        <f aca="false">Monthly!Y$26</f>
        <v>0</v>
      </c>
      <c r="H669" s="24" t="str">
        <f aca="false">ScenarioName</f>
        <v>Base</v>
      </c>
    </row>
    <row r="670" customFormat="false" ht="15" hidden="false" customHeight="false" outlineLevel="0" collapsed="false">
      <c r="A670" s="8" t="n">
        <v>21</v>
      </c>
      <c r="B670" s="39" t="n">
        <f aca="false">EDATE(StartDate,A670-1)</f>
        <v>46997</v>
      </c>
      <c r="C670" s="24" t="str">
        <f aca="false">Monthly!$B$26</f>
        <v>EnergyWave, Inc.</v>
      </c>
      <c r="D670" s="24" t="str">
        <f aca="false">Monthly!$C$26</f>
        <v>Payroll</v>
      </c>
      <c r="E670" s="24" t="str">
        <f aca="false">Monthly!$D$26</f>
        <v>Relocation</v>
      </c>
      <c r="F670" s="24" t="str">
        <f aca="false">Monthly!$A$26</f>
        <v>Relocation (one-time, all hires)</v>
      </c>
      <c r="G670" s="20" t="n">
        <f aca="false">Monthly!Z$26</f>
        <v>0</v>
      </c>
      <c r="H670" s="24" t="str">
        <f aca="false">ScenarioName</f>
        <v>Base</v>
      </c>
    </row>
    <row r="671" customFormat="false" ht="15" hidden="false" customHeight="false" outlineLevel="0" collapsed="false">
      <c r="A671" s="8" t="n">
        <v>22</v>
      </c>
      <c r="B671" s="39" t="n">
        <f aca="false">EDATE(StartDate,A671-1)</f>
        <v>47027</v>
      </c>
      <c r="C671" s="24" t="str">
        <f aca="false">Monthly!$B$26</f>
        <v>EnergyWave, Inc.</v>
      </c>
      <c r="D671" s="24" t="str">
        <f aca="false">Monthly!$C$26</f>
        <v>Payroll</v>
      </c>
      <c r="E671" s="24" t="str">
        <f aca="false">Monthly!$D$26</f>
        <v>Relocation</v>
      </c>
      <c r="F671" s="24" t="str">
        <f aca="false">Monthly!$A$26</f>
        <v>Relocation (one-time, all hires)</v>
      </c>
      <c r="G671" s="20" t="n">
        <f aca="false">Monthly!AA$26</f>
        <v>0</v>
      </c>
      <c r="H671" s="24" t="str">
        <f aca="false">ScenarioName</f>
        <v>Base</v>
      </c>
    </row>
    <row r="672" customFormat="false" ht="15" hidden="false" customHeight="false" outlineLevel="0" collapsed="false">
      <c r="A672" s="8" t="n">
        <v>23</v>
      </c>
      <c r="B672" s="39" t="n">
        <f aca="false">EDATE(StartDate,A672-1)</f>
        <v>47058</v>
      </c>
      <c r="C672" s="24" t="str">
        <f aca="false">Monthly!$B$26</f>
        <v>EnergyWave, Inc.</v>
      </c>
      <c r="D672" s="24" t="str">
        <f aca="false">Monthly!$C$26</f>
        <v>Payroll</v>
      </c>
      <c r="E672" s="24" t="str">
        <f aca="false">Monthly!$D$26</f>
        <v>Relocation</v>
      </c>
      <c r="F672" s="24" t="str">
        <f aca="false">Monthly!$A$26</f>
        <v>Relocation (one-time, all hires)</v>
      </c>
      <c r="G672" s="20" t="n">
        <f aca="false">Monthly!AB$26</f>
        <v>0</v>
      </c>
      <c r="H672" s="24" t="str">
        <f aca="false">ScenarioName</f>
        <v>Base</v>
      </c>
    </row>
    <row r="673" customFormat="false" ht="15" hidden="false" customHeight="false" outlineLevel="0" collapsed="false">
      <c r="A673" s="8" t="n">
        <v>24</v>
      </c>
      <c r="B673" s="39" t="n">
        <f aca="false">EDATE(StartDate,A673-1)</f>
        <v>47088</v>
      </c>
      <c r="C673" s="24" t="str">
        <f aca="false">Monthly!$B$26</f>
        <v>EnergyWave, Inc.</v>
      </c>
      <c r="D673" s="24" t="str">
        <f aca="false">Monthly!$C$26</f>
        <v>Payroll</v>
      </c>
      <c r="E673" s="24" t="str">
        <f aca="false">Monthly!$D$26</f>
        <v>Relocation</v>
      </c>
      <c r="F673" s="24" t="str">
        <f aca="false">Monthly!$A$26</f>
        <v>Relocation (one-time, all hires)</v>
      </c>
      <c r="G673" s="20" t="n">
        <f aca="false">Monthly!AC$26</f>
        <v>0</v>
      </c>
      <c r="H673" s="24" t="str">
        <f aca="false">ScenarioName</f>
        <v>Base</v>
      </c>
    </row>
    <row r="674" customFormat="false" ht="15" hidden="false" customHeight="false" outlineLevel="0" collapsed="false">
      <c r="A674" s="8" t="n">
        <v>25</v>
      </c>
      <c r="B674" s="39" t="n">
        <f aca="false">EDATE(StartDate,A674-1)</f>
        <v>47119</v>
      </c>
      <c r="C674" s="24" t="str">
        <f aca="false">Monthly!$B$26</f>
        <v>EnergyWave, Inc.</v>
      </c>
      <c r="D674" s="24" t="str">
        <f aca="false">Monthly!$C$26</f>
        <v>Payroll</v>
      </c>
      <c r="E674" s="24" t="str">
        <f aca="false">Monthly!$D$26</f>
        <v>Relocation</v>
      </c>
      <c r="F674" s="24" t="str">
        <f aca="false">Monthly!$A$26</f>
        <v>Relocation (one-time, all hires)</v>
      </c>
      <c r="G674" s="20" t="n">
        <f aca="false">Monthly!AD$26</f>
        <v>0</v>
      </c>
      <c r="H674" s="24" t="str">
        <f aca="false">ScenarioName</f>
        <v>Base</v>
      </c>
    </row>
    <row r="675" customFormat="false" ht="15" hidden="false" customHeight="false" outlineLevel="0" collapsed="false">
      <c r="A675" s="8" t="n">
        <v>26</v>
      </c>
      <c r="B675" s="39" t="n">
        <f aca="false">EDATE(StartDate,A675-1)</f>
        <v>47150</v>
      </c>
      <c r="C675" s="24" t="str">
        <f aca="false">Monthly!$B$26</f>
        <v>EnergyWave, Inc.</v>
      </c>
      <c r="D675" s="24" t="str">
        <f aca="false">Monthly!$C$26</f>
        <v>Payroll</v>
      </c>
      <c r="E675" s="24" t="str">
        <f aca="false">Monthly!$D$26</f>
        <v>Relocation</v>
      </c>
      <c r="F675" s="24" t="str">
        <f aca="false">Monthly!$A$26</f>
        <v>Relocation (one-time, all hires)</v>
      </c>
      <c r="G675" s="20" t="n">
        <f aca="false">Monthly!AE$26</f>
        <v>0</v>
      </c>
      <c r="H675" s="24" t="str">
        <f aca="false">ScenarioName</f>
        <v>Base</v>
      </c>
    </row>
    <row r="676" customFormat="false" ht="15" hidden="false" customHeight="false" outlineLevel="0" collapsed="false">
      <c r="A676" s="8" t="n">
        <v>27</v>
      </c>
      <c r="B676" s="39" t="n">
        <f aca="false">EDATE(StartDate,A676-1)</f>
        <v>47178</v>
      </c>
      <c r="C676" s="24" t="str">
        <f aca="false">Monthly!$B$26</f>
        <v>EnergyWave, Inc.</v>
      </c>
      <c r="D676" s="24" t="str">
        <f aca="false">Monthly!$C$26</f>
        <v>Payroll</v>
      </c>
      <c r="E676" s="24" t="str">
        <f aca="false">Monthly!$D$26</f>
        <v>Relocation</v>
      </c>
      <c r="F676" s="24" t="str">
        <f aca="false">Monthly!$A$26</f>
        <v>Relocation (one-time, all hires)</v>
      </c>
      <c r="G676" s="20" t="n">
        <f aca="false">Monthly!AF$26</f>
        <v>0</v>
      </c>
      <c r="H676" s="24" t="str">
        <f aca="false">ScenarioName</f>
        <v>Base</v>
      </c>
    </row>
    <row r="677" customFormat="false" ht="15" hidden="false" customHeight="false" outlineLevel="0" collapsed="false">
      <c r="A677" s="8" t="n">
        <v>28</v>
      </c>
      <c r="B677" s="39" t="n">
        <f aca="false">EDATE(StartDate,A677-1)</f>
        <v>47209</v>
      </c>
      <c r="C677" s="24" t="str">
        <f aca="false">Monthly!$B$26</f>
        <v>EnergyWave, Inc.</v>
      </c>
      <c r="D677" s="24" t="str">
        <f aca="false">Monthly!$C$26</f>
        <v>Payroll</v>
      </c>
      <c r="E677" s="24" t="str">
        <f aca="false">Monthly!$D$26</f>
        <v>Relocation</v>
      </c>
      <c r="F677" s="24" t="str">
        <f aca="false">Monthly!$A$26</f>
        <v>Relocation (one-time, all hires)</v>
      </c>
      <c r="G677" s="20" t="n">
        <f aca="false">Monthly!AG$26</f>
        <v>0</v>
      </c>
      <c r="H677" s="24" t="str">
        <f aca="false">ScenarioName</f>
        <v>Base</v>
      </c>
    </row>
    <row r="678" customFormat="false" ht="15" hidden="false" customHeight="false" outlineLevel="0" collapsed="false">
      <c r="A678" s="8" t="n">
        <v>29</v>
      </c>
      <c r="B678" s="39" t="n">
        <f aca="false">EDATE(StartDate,A678-1)</f>
        <v>47239</v>
      </c>
      <c r="C678" s="24" t="str">
        <f aca="false">Monthly!$B$26</f>
        <v>EnergyWave, Inc.</v>
      </c>
      <c r="D678" s="24" t="str">
        <f aca="false">Monthly!$C$26</f>
        <v>Payroll</v>
      </c>
      <c r="E678" s="24" t="str">
        <f aca="false">Monthly!$D$26</f>
        <v>Relocation</v>
      </c>
      <c r="F678" s="24" t="str">
        <f aca="false">Monthly!$A$26</f>
        <v>Relocation (one-time, all hires)</v>
      </c>
      <c r="G678" s="20" t="n">
        <f aca="false">Monthly!AH$26</f>
        <v>0</v>
      </c>
      <c r="H678" s="24" t="str">
        <f aca="false">ScenarioName</f>
        <v>Base</v>
      </c>
    </row>
    <row r="679" customFormat="false" ht="15" hidden="false" customHeight="false" outlineLevel="0" collapsed="false">
      <c r="A679" s="8" t="n">
        <v>30</v>
      </c>
      <c r="B679" s="39" t="n">
        <f aca="false">EDATE(StartDate,A679-1)</f>
        <v>47270</v>
      </c>
      <c r="C679" s="24" t="str">
        <f aca="false">Monthly!$B$26</f>
        <v>EnergyWave, Inc.</v>
      </c>
      <c r="D679" s="24" t="str">
        <f aca="false">Monthly!$C$26</f>
        <v>Payroll</v>
      </c>
      <c r="E679" s="24" t="str">
        <f aca="false">Monthly!$D$26</f>
        <v>Relocation</v>
      </c>
      <c r="F679" s="24" t="str">
        <f aca="false">Monthly!$A$26</f>
        <v>Relocation (one-time, all hires)</v>
      </c>
      <c r="G679" s="20" t="n">
        <f aca="false">Monthly!AI$26</f>
        <v>0</v>
      </c>
      <c r="H679" s="24" t="str">
        <f aca="false">ScenarioName</f>
        <v>Base</v>
      </c>
    </row>
    <row r="680" customFormat="false" ht="15" hidden="false" customHeight="false" outlineLevel="0" collapsed="false">
      <c r="A680" s="8" t="n">
        <v>31</v>
      </c>
      <c r="B680" s="39" t="n">
        <f aca="false">EDATE(StartDate,A680-1)</f>
        <v>47300</v>
      </c>
      <c r="C680" s="24" t="str">
        <f aca="false">Monthly!$B$26</f>
        <v>EnergyWave, Inc.</v>
      </c>
      <c r="D680" s="24" t="str">
        <f aca="false">Monthly!$C$26</f>
        <v>Payroll</v>
      </c>
      <c r="E680" s="24" t="str">
        <f aca="false">Monthly!$D$26</f>
        <v>Relocation</v>
      </c>
      <c r="F680" s="24" t="str">
        <f aca="false">Monthly!$A$26</f>
        <v>Relocation (one-time, all hires)</v>
      </c>
      <c r="G680" s="20" t="n">
        <f aca="false">Monthly!AJ$26</f>
        <v>0</v>
      </c>
      <c r="H680" s="24" t="str">
        <f aca="false">ScenarioName</f>
        <v>Base</v>
      </c>
    </row>
    <row r="681" customFormat="false" ht="15" hidden="false" customHeight="false" outlineLevel="0" collapsed="false">
      <c r="A681" s="8" t="n">
        <v>32</v>
      </c>
      <c r="B681" s="39" t="n">
        <f aca="false">EDATE(StartDate,A681-1)</f>
        <v>47331</v>
      </c>
      <c r="C681" s="24" t="str">
        <f aca="false">Monthly!$B$26</f>
        <v>EnergyWave, Inc.</v>
      </c>
      <c r="D681" s="24" t="str">
        <f aca="false">Monthly!$C$26</f>
        <v>Payroll</v>
      </c>
      <c r="E681" s="24" t="str">
        <f aca="false">Monthly!$D$26</f>
        <v>Relocation</v>
      </c>
      <c r="F681" s="24" t="str">
        <f aca="false">Monthly!$A$26</f>
        <v>Relocation (one-time, all hires)</v>
      </c>
      <c r="G681" s="20" t="n">
        <f aca="false">Monthly!AK$26</f>
        <v>0</v>
      </c>
      <c r="H681" s="24" t="str">
        <f aca="false">ScenarioName</f>
        <v>Base</v>
      </c>
    </row>
    <row r="682" customFormat="false" ht="15" hidden="false" customHeight="false" outlineLevel="0" collapsed="false">
      <c r="A682" s="8" t="n">
        <v>33</v>
      </c>
      <c r="B682" s="39" t="n">
        <f aca="false">EDATE(StartDate,A682-1)</f>
        <v>47362</v>
      </c>
      <c r="C682" s="24" t="str">
        <f aca="false">Monthly!$B$26</f>
        <v>EnergyWave, Inc.</v>
      </c>
      <c r="D682" s="24" t="str">
        <f aca="false">Monthly!$C$26</f>
        <v>Payroll</v>
      </c>
      <c r="E682" s="24" t="str">
        <f aca="false">Monthly!$D$26</f>
        <v>Relocation</v>
      </c>
      <c r="F682" s="24" t="str">
        <f aca="false">Monthly!$A$26</f>
        <v>Relocation (one-time, all hires)</v>
      </c>
      <c r="G682" s="20" t="n">
        <f aca="false">Monthly!AL$26</f>
        <v>0</v>
      </c>
      <c r="H682" s="24" t="str">
        <f aca="false">ScenarioName</f>
        <v>Base</v>
      </c>
    </row>
    <row r="683" customFormat="false" ht="15" hidden="false" customHeight="false" outlineLevel="0" collapsed="false">
      <c r="A683" s="8" t="n">
        <v>34</v>
      </c>
      <c r="B683" s="39" t="n">
        <f aca="false">EDATE(StartDate,A683-1)</f>
        <v>47392</v>
      </c>
      <c r="C683" s="24" t="str">
        <f aca="false">Monthly!$B$26</f>
        <v>EnergyWave, Inc.</v>
      </c>
      <c r="D683" s="24" t="str">
        <f aca="false">Monthly!$C$26</f>
        <v>Payroll</v>
      </c>
      <c r="E683" s="24" t="str">
        <f aca="false">Monthly!$D$26</f>
        <v>Relocation</v>
      </c>
      <c r="F683" s="24" t="str">
        <f aca="false">Monthly!$A$26</f>
        <v>Relocation (one-time, all hires)</v>
      </c>
      <c r="G683" s="20" t="n">
        <f aca="false">Monthly!AM$26</f>
        <v>0</v>
      </c>
      <c r="H683" s="24" t="str">
        <f aca="false">ScenarioName</f>
        <v>Base</v>
      </c>
    </row>
    <row r="684" customFormat="false" ht="15" hidden="false" customHeight="false" outlineLevel="0" collapsed="false">
      <c r="A684" s="8" t="n">
        <v>35</v>
      </c>
      <c r="B684" s="39" t="n">
        <f aca="false">EDATE(StartDate,A684-1)</f>
        <v>47423</v>
      </c>
      <c r="C684" s="24" t="str">
        <f aca="false">Monthly!$B$26</f>
        <v>EnergyWave, Inc.</v>
      </c>
      <c r="D684" s="24" t="str">
        <f aca="false">Monthly!$C$26</f>
        <v>Payroll</v>
      </c>
      <c r="E684" s="24" t="str">
        <f aca="false">Monthly!$D$26</f>
        <v>Relocation</v>
      </c>
      <c r="F684" s="24" t="str">
        <f aca="false">Monthly!$A$26</f>
        <v>Relocation (one-time, all hires)</v>
      </c>
      <c r="G684" s="20" t="n">
        <f aca="false">Monthly!AN$26</f>
        <v>0</v>
      </c>
      <c r="H684" s="24" t="str">
        <f aca="false">ScenarioName</f>
        <v>Base</v>
      </c>
    </row>
    <row r="685" customFormat="false" ht="15" hidden="false" customHeight="false" outlineLevel="0" collapsed="false">
      <c r="A685" s="8" t="n">
        <v>36</v>
      </c>
      <c r="B685" s="39" t="n">
        <f aca="false">EDATE(StartDate,A685-1)</f>
        <v>47453</v>
      </c>
      <c r="C685" s="24" t="str">
        <f aca="false">Monthly!$B$26</f>
        <v>EnergyWave, Inc.</v>
      </c>
      <c r="D685" s="24" t="str">
        <f aca="false">Monthly!$C$26</f>
        <v>Payroll</v>
      </c>
      <c r="E685" s="24" t="str">
        <f aca="false">Monthly!$D$26</f>
        <v>Relocation</v>
      </c>
      <c r="F685" s="24" t="str">
        <f aca="false">Monthly!$A$26</f>
        <v>Relocation (one-time, all hires)</v>
      </c>
      <c r="G685" s="20" t="n">
        <f aca="false">Monthly!AO$26</f>
        <v>0</v>
      </c>
      <c r="H685" s="24" t="str">
        <f aca="false">ScenarioName</f>
        <v>Base</v>
      </c>
    </row>
    <row r="686" customFormat="false" ht="15" hidden="false" customHeight="false" outlineLevel="0" collapsed="false">
      <c r="A686" s="8" t="n">
        <v>1</v>
      </c>
      <c r="B686" s="39" t="n">
        <f aca="false">EDATE(StartDate,A686-1)</f>
        <v>46388</v>
      </c>
      <c r="C686" s="24" t="str">
        <f aca="false">Monthly!$B$28</f>
        <v>EnergyWave, Inc.</v>
      </c>
      <c r="D686" s="24" t="str">
        <f aca="false">Monthly!$C$28</f>
        <v>Facilities</v>
      </c>
      <c r="E686" s="24" t="str">
        <f aca="false">Monthly!$D$28</f>
        <v>Lease</v>
      </c>
      <c r="F686" s="24" t="str">
        <f aca="false">Monthly!$A$28</f>
        <v>Office + lab lease near UCI (University Research Park)</v>
      </c>
      <c r="G686" s="20" t="n">
        <f aca="false">Monthly!F$28</f>
        <v>0</v>
      </c>
      <c r="H686" s="24" t="str">
        <f aca="false">ScenarioName</f>
        <v>Base</v>
      </c>
    </row>
    <row r="687" customFormat="false" ht="15" hidden="false" customHeight="false" outlineLevel="0" collapsed="false">
      <c r="A687" s="8" t="n">
        <v>2</v>
      </c>
      <c r="B687" s="39" t="n">
        <f aca="false">EDATE(StartDate,A687-1)</f>
        <v>46419</v>
      </c>
      <c r="C687" s="24" t="str">
        <f aca="false">Monthly!$B$28</f>
        <v>EnergyWave, Inc.</v>
      </c>
      <c r="D687" s="24" t="str">
        <f aca="false">Monthly!$C$28</f>
        <v>Facilities</v>
      </c>
      <c r="E687" s="24" t="str">
        <f aca="false">Monthly!$D$28</f>
        <v>Lease</v>
      </c>
      <c r="F687" s="24" t="str">
        <f aca="false">Monthly!$A$28</f>
        <v>Office + lab lease near UCI (University Research Park)</v>
      </c>
      <c r="G687" s="20" t="n">
        <f aca="false">Monthly!G$28</f>
        <v>22500</v>
      </c>
      <c r="H687" s="24" t="str">
        <f aca="false">ScenarioName</f>
        <v>Base</v>
      </c>
    </row>
    <row r="688" customFormat="false" ht="15" hidden="false" customHeight="false" outlineLevel="0" collapsed="false">
      <c r="A688" s="8" t="n">
        <v>3</v>
      </c>
      <c r="B688" s="39" t="n">
        <f aca="false">EDATE(StartDate,A688-1)</f>
        <v>46447</v>
      </c>
      <c r="C688" s="24" t="str">
        <f aca="false">Monthly!$B$28</f>
        <v>EnergyWave, Inc.</v>
      </c>
      <c r="D688" s="24" t="str">
        <f aca="false">Monthly!$C$28</f>
        <v>Facilities</v>
      </c>
      <c r="E688" s="24" t="str">
        <f aca="false">Monthly!$D$28</f>
        <v>Lease</v>
      </c>
      <c r="F688" s="24" t="str">
        <f aca="false">Monthly!$A$28</f>
        <v>Office + lab lease near UCI (University Research Park)</v>
      </c>
      <c r="G688" s="20" t="n">
        <f aca="false">Monthly!H$28</f>
        <v>22500</v>
      </c>
      <c r="H688" s="24" t="str">
        <f aca="false">ScenarioName</f>
        <v>Base</v>
      </c>
    </row>
    <row r="689" customFormat="false" ht="15" hidden="false" customHeight="false" outlineLevel="0" collapsed="false">
      <c r="A689" s="8" t="n">
        <v>4</v>
      </c>
      <c r="B689" s="39" t="n">
        <f aca="false">EDATE(StartDate,A689-1)</f>
        <v>46478</v>
      </c>
      <c r="C689" s="24" t="str">
        <f aca="false">Monthly!$B$28</f>
        <v>EnergyWave, Inc.</v>
      </c>
      <c r="D689" s="24" t="str">
        <f aca="false">Monthly!$C$28</f>
        <v>Facilities</v>
      </c>
      <c r="E689" s="24" t="str">
        <f aca="false">Monthly!$D$28</f>
        <v>Lease</v>
      </c>
      <c r="F689" s="24" t="str">
        <f aca="false">Monthly!$A$28</f>
        <v>Office + lab lease near UCI (University Research Park)</v>
      </c>
      <c r="G689" s="20" t="n">
        <f aca="false">Monthly!I$28</f>
        <v>22500</v>
      </c>
      <c r="H689" s="24" t="str">
        <f aca="false">ScenarioName</f>
        <v>Base</v>
      </c>
    </row>
    <row r="690" customFormat="false" ht="15" hidden="false" customHeight="false" outlineLevel="0" collapsed="false">
      <c r="A690" s="8" t="n">
        <v>5</v>
      </c>
      <c r="B690" s="39" t="n">
        <f aca="false">EDATE(StartDate,A690-1)</f>
        <v>46508</v>
      </c>
      <c r="C690" s="24" t="str">
        <f aca="false">Monthly!$B$28</f>
        <v>EnergyWave, Inc.</v>
      </c>
      <c r="D690" s="24" t="str">
        <f aca="false">Monthly!$C$28</f>
        <v>Facilities</v>
      </c>
      <c r="E690" s="24" t="str">
        <f aca="false">Monthly!$D$28</f>
        <v>Lease</v>
      </c>
      <c r="F690" s="24" t="str">
        <f aca="false">Monthly!$A$28</f>
        <v>Office + lab lease near UCI (University Research Park)</v>
      </c>
      <c r="G690" s="20" t="n">
        <f aca="false">Monthly!J$28</f>
        <v>22500</v>
      </c>
      <c r="H690" s="24" t="str">
        <f aca="false">ScenarioName</f>
        <v>Base</v>
      </c>
    </row>
    <row r="691" customFormat="false" ht="15" hidden="false" customHeight="false" outlineLevel="0" collapsed="false">
      <c r="A691" s="8" t="n">
        <v>6</v>
      </c>
      <c r="B691" s="39" t="n">
        <f aca="false">EDATE(StartDate,A691-1)</f>
        <v>46539</v>
      </c>
      <c r="C691" s="24" t="str">
        <f aca="false">Monthly!$B$28</f>
        <v>EnergyWave, Inc.</v>
      </c>
      <c r="D691" s="24" t="str">
        <f aca="false">Monthly!$C$28</f>
        <v>Facilities</v>
      </c>
      <c r="E691" s="24" t="str">
        <f aca="false">Monthly!$D$28</f>
        <v>Lease</v>
      </c>
      <c r="F691" s="24" t="str">
        <f aca="false">Monthly!$A$28</f>
        <v>Office + lab lease near UCI (University Research Park)</v>
      </c>
      <c r="G691" s="20" t="n">
        <f aca="false">Monthly!K$28</f>
        <v>22500</v>
      </c>
      <c r="H691" s="24" t="str">
        <f aca="false">ScenarioName</f>
        <v>Base</v>
      </c>
    </row>
    <row r="692" customFormat="false" ht="15" hidden="false" customHeight="false" outlineLevel="0" collapsed="false">
      <c r="A692" s="8" t="n">
        <v>7</v>
      </c>
      <c r="B692" s="39" t="n">
        <f aca="false">EDATE(StartDate,A692-1)</f>
        <v>46569</v>
      </c>
      <c r="C692" s="24" t="str">
        <f aca="false">Monthly!$B$28</f>
        <v>EnergyWave, Inc.</v>
      </c>
      <c r="D692" s="24" t="str">
        <f aca="false">Monthly!$C$28</f>
        <v>Facilities</v>
      </c>
      <c r="E692" s="24" t="str">
        <f aca="false">Monthly!$D$28</f>
        <v>Lease</v>
      </c>
      <c r="F692" s="24" t="str">
        <f aca="false">Monthly!$A$28</f>
        <v>Office + lab lease near UCI (University Research Park)</v>
      </c>
      <c r="G692" s="20" t="n">
        <f aca="false">Monthly!L$28</f>
        <v>22500</v>
      </c>
      <c r="H692" s="24" t="str">
        <f aca="false">ScenarioName</f>
        <v>Base</v>
      </c>
    </row>
    <row r="693" customFormat="false" ht="15" hidden="false" customHeight="false" outlineLevel="0" collapsed="false">
      <c r="A693" s="8" t="n">
        <v>8</v>
      </c>
      <c r="B693" s="39" t="n">
        <f aca="false">EDATE(StartDate,A693-1)</f>
        <v>46600</v>
      </c>
      <c r="C693" s="24" t="str">
        <f aca="false">Monthly!$B$28</f>
        <v>EnergyWave, Inc.</v>
      </c>
      <c r="D693" s="24" t="str">
        <f aca="false">Monthly!$C$28</f>
        <v>Facilities</v>
      </c>
      <c r="E693" s="24" t="str">
        <f aca="false">Monthly!$D$28</f>
        <v>Lease</v>
      </c>
      <c r="F693" s="24" t="str">
        <f aca="false">Monthly!$A$28</f>
        <v>Office + lab lease near UCI (University Research Park)</v>
      </c>
      <c r="G693" s="20" t="n">
        <f aca="false">Monthly!M$28</f>
        <v>22500</v>
      </c>
      <c r="H693" s="24" t="str">
        <f aca="false">ScenarioName</f>
        <v>Base</v>
      </c>
    </row>
    <row r="694" customFormat="false" ht="15" hidden="false" customHeight="false" outlineLevel="0" collapsed="false">
      <c r="A694" s="8" t="n">
        <v>9</v>
      </c>
      <c r="B694" s="39" t="n">
        <f aca="false">EDATE(StartDate,A694-1)</f>
        <v>46631</v>
      </c>
      <c r="C694" s="24" t="str">
        <f aca="false">Monthly!$B$28</f>
        <v>EnergyWave, Inc.</v>
      </c>
      <c r="D694" s="24" t="str">
        <f aca="false">Monthly!$C$28</f>
        <v>Facilities</v>
      </c>
      <c r="E694" s="24" t="str">
        <f aca="false">Monthly!$D$28</f>
        <v>Lease</v>
      </c>
      <c r="F694" s="24" t="str">
        <f aca="false">Monthly!$A$28</f>
        <v>Office + lab lease near UCI (University Research Park)</v>
      </c>
      <c r="G694" s="20" t="n">
        <f aca="false">Monthly!N$28</f>
        <v>22500</v>
      </c>
      <c r="H694" s="24" t="str">
        <f aca="false">ScenarioName</f>
        <v>Base</v>
      </c>
    </row>
    <row r="695" customFormat="false" ht="15" hidden="false" customHeight="false" outlineLevel="0" collapsed="false">
      <c r="A695" s="8" t="n">
        <v>10</v>
      </c>
      <c r="B695" s="39" t="n">
        <f aca="false">EDATE(StartDate,A695-1)</f>
        <v>46661</v>
      </c>
      <c r="C695" s="24" t="str">
        <f aca="false">Monthly!$B$28</f>
        <v>EnergyWave, Inc.</v>
      </c>
      <c r="D695" s="24" t="str">
        <f aca="false">Monthly!$C$28</f>
        <v>Facilities</v>
      </c>
      <c r="E695" s="24" t="str">
        <f aca="false">Monthly!$D$28</f>
        <v>Lease</v>
      </c>
      <c r="F695" s="24" t="str">
        <f aca="false">Monthly!$A$28</f>
        <v>Office + lab lease near UCI (University Research Park)</v>
      </c>
      <c r="G695" s="20" t="n">
        <f aca="false">Monthly!O$28</f>
        <v>22500</v>
      </c>
      <c r="H695" s="24" t="str">
        <f aca="false">ScenarioName</f>
        <v>Base</v>
      </c>
    </row>
    <row r="696" customFormat="false" ht="15" hidden="false" customHeight="false" outlineLevel="0" collapsed="false">
      <c r="A696" s="8" t="n">
        <v>11</v>
      </c>
      <c r="B696" s="39" t="n">
        <f aca="false">EDATE(StartDate,A696-1)</f>
        <v>46692</v>
      </c>
      <c r="C696" s="24" t="str">
        <f aca="false">Monthly!$B$28</f>
        <v>EnergyWave, Inc.</v>
      </c>
      <c r="D696" s="24" t="str">
        <f aca="false">Monthly!$C$28</f>
        <v>Facilities</v>
      </c>
      <c r="E696" s="24" t="str">
        <f aca="false">Monthly!$D$28</f>
        <v>Lease</v>
      </c>
      <c r="F696" s="24" t="str">
        <f aca="false">Monthly!$A$28</f>
        <v>Office + lab lease near UCI (University Research Park)</v>
      </c>
      <c r="G696" s="20" t="n">
        <f aca="false">Monthly!P$28</f>
        <v>22500</v>
      </c>
      <c r="H696" s="24" t="str">
        <f aca="false">ScenarioName</f>
        <v>Base</v>
      </c>
    </row>
    <row r="697" customFormat="false" ht="15" hidden="false" customHeight="false" outlineLevel="0" collapsed="false">
      <c r="A697" s="8" t="n">
        <v>12</v>
      </c>
      <c r="B697" s="39" t="n">
        <f aca="false">EDATE(StartDate,A697-1)</f>
        <v>46722</v>
      </c>
      <c r="C697" s="24" t="str">
        <f aca="false">Monthly!$B$28</f>
        <v>EnergyWave, Inc.</v>
      </c>
      <c r="D697" s="24" t="str">
        <f aca="false">Monthly!$C$28</f>
        <v>Facilities</v>
      </c>
      <c r="E697" s="24" t="str">
        <f aca="false">Monthly!$D$28</f>
        <v>Lease</v>
      </c>
      <c r="F697" s="24" t="str">
        <f aca="false">Monthly!$A$28</f>
        <v>Office + lab lease near UCI (University Research Park)</v>
      </c>
      <c r="G697" s="20" t="n">
        <f aca="false">Monthly!Q$28</f>
        <v>22500</v>
      </c>
      <c r="H697" s="24" t="str">
        <f aca="false">ScenarioName</f>
        <v>Base</v>
      </c>
    </row>
    <row r="698" customFormat="false" ht="15" hidden="false" customHeight="false" outlineLevel="0" collapsed="false">
      <c r="A698" s="8" t="n">
        <v>13</v>
      </c>
      <c r="B698" s="39" t="n">
        <f aca="false">EDATE(StartDate,A698-1)</f>
        <v>46753</v>
      </c>
      <c r="C698" s="24" t="str">
        <f aca="false">Monthly!$B$28</f>
        <v>EnergyWave, Inc.</v>
      </c>
      <c r="D698" s="24" t="str">
        <f aca="false">Monthly!$C$28</f>
        <v>Facilities</v>
      </c>
      <c r="E698" s="24" t="str">
        <f aca="false">Monthly!$D$28</f>
        <v>Lease</v>
      </c>
      <c r="F698" s="24" t="str">
        <f aca="false">Monthly!$A$28</f>
        <v>Office + lab lease near UCI (University Research Park)</v>
      </c>
      <c r="G698" s="20" t="n">
        <f aca="false">Monthly!R$28</f>
        <v>22500</v>
      </c>
      <c r="H698" s="24" t="str">
        <f aca="false">ScenarioName</f>
        <v>Base</v>
      </c>
    </row>
    <row r="699" customFormat="false" ht="15" hidden="false" customHeight="false" outlineLevel="0" collapsed="false">
      <c r="A699" s="8" t="n">
        <v>14</v>
      </c>
      <c r="B699" s="39" t="n">
        <f aca="false">EDATE(StartDate,A699-1)</f>
        <v>46784</v>
      </c>
      <c r="C699" s="24" t="str">
        <f aca="false">Monthly!$B$28</f>
        <v>EnergyWave, Inc.</v>
      </c>
      <c r="D699" s="24" t="str">
        <f aca="false">Monthly!$C$28</f>
        <v>Facilities</v>
      </c>
      <c r="E699" s="24" t="str">
        <f aca="false">Monthly!$D$28</f>
        <v>Lease</v>
      </c>
      <c r="F699" s="24" t="str">
        <f aca="false">Monthly!$A$28</f>
        <v>Office + lab lease near UCI (University Research Park)</v>
      </c>
      <c r="G699" s="20" t="n">
        <f aca="false">Monthly!S$28</f>
        <v>22500</v>
      </c>
      <c r="H699" s="24" t="str">
        <f aca="false">ScenarioName</f>
        <v>Base</v>
      </c>
    </row>
    <row r="700" customFormat="false" ht="15" hidden="false" customHeight="false" outlineLevel="0" collapsed="false">
      <c r="A700" s="8" t="n">
        <v>15</v>
      </c>
      <c r="B700" s="39" t="n">
        <f aca="false">EDATE(StartDate,A700-1)</f>
        <v>46813</v>
      </c>
      <c r="C700" s="24" t="str">
        <f aca="false">Monthly!$B$28</f>
        <v>EnergyWave, Inc.</v>
      </c>
      <c r="D700" s="24" t="str">
        <f aca="false">Monthly!$C$28</f>
        <v>Facilities</v>
      </c>
      <c r="E700" s="24" t="str">
        <f aca="false">Monthly!$D$28</f>
        <v>Lease</v>
      </c>
      <c r="F700" s="24" t="str">
        <f aca="false">Monthly!$A$28</f>
        <v>Office + lab lease near UCI (University Research Park)</v>
      </c>
      <c r="G700" s="20" t="n">
        <f aca="false">Monthly!T$28</f>
        <v>22500</v>
      </c>
      <c r="H700" s="24" t="str">
        <f aca="false">ScenarioName</f>
        <v>Base</v>
      </c>
    </row>
    <row r="701" customFormat="false" ht="15" hidden="false" customHeight="false" outlineLevel="0" collapsed="false">
      <c r="A701" s="8" t="n">
        <v>16</v>
      </c>
      <c r="B701" s="39" t="n">
        <f aca="false">EDATE(StartDate,A701-1)</f>
        <v>46844</v>
      </c>
      <c r="C701" s="24" t="str">
        <f aca="false">Monthly!$B$28</f>
        <v>EnergyWave, Inc.</v>
      </c>
      <c r="D701" s="24" t="str">
        <f aca="false">Monthly!$C$28</f>
        <v>Facilities</v>
      </c>
      <c r="E701" s="24" t="str">
        <f aca="false">Monthly!$D$28</f>
        <v>Lease</v>
      </c>
      <c r="F701" s="24" t="str">
        <f aca="false">Monthly!$A$28</f>
        <v>Office + lab lease near UCI (University Research Park)</v>
      </c>
      <c r="G701" s="20" t="n">
        <f aca="false">Monthly!U$28</f>
        <v>22500</v>
      </c>
      <c r="H701" s="24" t="str">
        <f aca="false">ScenarioName</f>
        <v>Base</v>
      </c>
    </row>
    <row r="702" customFormat="false" ht="15" hidden="false" customHeight="false" outlineLevel="0" collapsed="false">
      <c r="A702" s="8" t="n">
        <v>17</v>
      </c>
      <c r="B702" s="39" t="n">
        <f aca="false">EDATE(StartDate,A702-1)</f>
        <v>46874</v>
      </c>
      <c r="C702" s="24" t="str">
        <f aca="false">Monthly!$B$28</f>
        <v>EnergyWave, Inc.</v>
      </c>
      <c r="D702" s="24" t="str">
        <f aca="false">Monthly!$C$28</f>
        <v>Facilities</v>
      </c>
      <c r="E702" s="24" t="str">
        <f aca="false">Monthly!$D$28</f>
        <v>Lease</v>
      </c>
      <c r="F702" s="24" t="str">
        <f aca="false">Monthly!$A$28</f>
        <v>Office + lab lease near UCI (University Research Park)</v>
      </c>
      <c r="G702" s="20" t="n">
        <f aca="false">Monthly!V$28</f>
        <v>22500</v>
      </c>
      <c r="H702" s="24" t="str">
        <f aca="false">ScenarioName</f>
        <v>Base</v>
      </c>
    </row>
    <row r="703" customFormat="false" ht="15" hidden="false" customHeight="false" outlineLevel="0" collapsed="false">
      <c r="A703" s="8" t="n">
        <v>18</v>
      </c>
      <c r="B703" s="39" t="n">
        <f aca="false">EDATE(StartDate,A703-1)</f>
        <v>46905</v>
      </c>
      <c r="C703" s="24" t="str">
        <f aca="false">Monthly!$B$28</f>
        <v>EnergyWave, Inc.</v>
      </c>
      <c r="D703" s="24" t="str">
        <f aca="false">Monthly!$C$28</f>
        <v>Facilities</v>
      </c>
      <c r="E703" s="24" t="str">
        <f aca="false">Monthly!$D$28</f>
        <v>Lease</v>
      </c>
      <c r="F703" s="24" t="str">
        <f aca="false">Monthly!$A$28</f>
        <v>Office + lab lease near UCI (University Research Park)</v>
      </c>
      <c r="G703" s="20" t="n">
        <f aca="false">Monthly!W$28</f>
        <v>22500</v>
      </c>
      <c r="H703" s="24" t="str">
        <f aca="false">ScenarioName</f>
        <v>Base</v>
      </c>
    </row>
    <row r="704" customFormat="false" ht="15" hidden="false" customHeight="false" outlineLevel="0" collapsed="false">
      <c r="A704" s="8" t="n">
        <v>19</v>
      </c>
      <c r="B704" s="39" t="n">
        <f aca="false">EDATE(StartDate,A704-1)</f>
        <v>46935</v>
      </c>
      <c r="C704" s="24" t="str">
        <f aca="false">Monthly!$B$28</f>
        <v>EnergyWave, Inc.</v>
      </c>
      <c r="D704" s="24" t="str">
        <f aca="false">Monthly!$C$28</f>
        <v>Facilities</v>
      </c>
      <c r="E704" s="24" t="str">
        <f aca="false">Monthly!$D$28</f>
        <v>Lease</v>
      </c>
      <c r="F704" s="24" t="str">
        <f aca="false">Monthly!$A$28</f>
        <v>Office + lab lease near UCI (University Research Park)</v>
      </c>
      <c r="G704" s="20" t="n">
        <f aca="false">Monthly!X$28</f>
        <v>22500</v>
      </c>
      <c r="H704" s="24" t="str">
        <f aca="false">ScenarioName</f>
        <v>Base</v>
      </c>
    </row>
    <row r="705" customFormat="false" ht="15" hidden="false" customHeight="false" outlineLevel="0" collapsed="false">
      <c r="A705" s="8" t="n">
        <v>20</v>
      </c>
      <c r="B705" s="39" t="n">
        <f aca="false">EDATE(StartDate,A705-1)</f>
        <v>46966</v>
      </c>
      <c r="C705" s="24" t="str">
        <f aca="false">Monthly!$B$28</f>
        <v>EnergyWave, Inc.</v>
      </c>
      <c r="D705" s="24" t="str">
        <f aca="false">Monthly!$C$28</f>
        <v>Facilities</v>
      </c>
      <c r="E705" s="24" t="str">
        <f aca="false">Monthly!$D$28</f>
        <v>Lease</v>
      </c>
      <c r="F705" s="24" t="str">
        <f aca="false">Monthly!$A$28</f>
        <v>Office + lab lease near UCI (University Research Park)</v>
      </c>
      <c r="G705" s="20" t="n">
        <f aca="false">Monthly!Y$28</f>
        <v>22500</v>
      </c>
      <c r="H705" s="24" t="str">
        <f aca="false">ScenarioName</f>
        <v>Base</v>
      </c>
    </row>
    <row r="706" customFormat="false" ht="15" hidden="false" customHeight="false" outlineLevel="0" collapsed="false">
      <c r="A706" s="8" t="n">
        <v>21</v>
      </c>
      <c r="B706" s="39" t="n">
        <f aca="false">EDATE(StartDate,A706-1)</f>
        <v>46997</v>
      </c>
      <c r="C706" s="24" t="str">
        <f aca="false">Monthly!$B$28</f>
        <v>EnergyWave, Inc.</v>
      </c>
      <c r="D706" s="24" t="str">
        <f aca="false">Monthly!$C$28</f>
        <v>Facilities</v>
      </c>
      <c r="E706" s="24" t="str">
        <f aca="false">Monthly!$D$28</f>
        <v>Lease</v>
      </c>
      <c r="F706" s="24" t="str">
        <f aca="false">Monthly!$A$28</f>
        <v>Office + lab lease near UCI (University Research Park)</v>
      </c>
      <c r="G706" s="20" t="n">
        <f aca="false">Monthly!Z$28</f>
        <v>22500</v>
      </c>
      <c r="H706" s="24" t="str">
        <f aca="false">ScenarioName</f>
        <v>Base</v>
      </c>
    </row>
    <row r="707" customFormat="false" ht="15" hidden="false" customHeight="false" outlineLevel="0" collapsed="false">
      <c r="A707" s="8" t="n">
        <v>22</v>
      </c>
      <c r="B707" s="39" t="n">
        <f aca="false">EDATE(StartDate,A707-1)</f>
        <v>47027</v>
      </c>
      <c r="C707" s="24" t="str">
        <f aca="false">Monthly!$B$28</f>
        <v>EnergyWave, Inc.</v>
      </c>
      <c r="D707" s="24" t="str">
        <f aca="false">Monthly!$C$28</f>
        <v>Facilities</v>
      </c>
      <c r="E707" s="24" t="str">
        <f aca="false">Monthly!$D$28</f>
        <v>Lease</v>
      </c>
      <c r="F707" s="24" t="str">
        <f aca="false">Monthly!$A$28</f>
        <v>Office + lab lease near UCI (University Research Park)</v>
      </c>
      <c r="G707" s="20" t="n">
        <f aca="false">Monthly!AA$28</f>
        <v>22500</v>
      </c>
      <c r="H707" s="24" t="str">
        <f aca="false">ScenarioName</f>
        <v>Base</v>
      </c>
    </row>
    <row r="708" customFormat="false" ht="15" hidden="false" customHeight="false" outlineLevel="0" collapsed="false">
      <c r="A708" s="8" t="n">
        <v>23</v>
      </c>
      <c r="B708" s="39" t="n">
        <f aca="false">EDATE(StartDate,A708-1)</f>
        <v>47058</v>
      </c>
      <c r="C708" s="24" t="str">
        <f aca="false">Monthly!$B$28</f>
        <v>EnergyWave, Inc.</v>
      </c>
      <c r="D708" s="24" t="str">
        <f aca="false">Monthly!$C$28</f>
        <v>Facilities</v>
      </c>
      <c r="E708" s="24" t="str">
        <f aca="false">Monthly!$D$28</f>
        <v>Lease</v>
      </c>
      <c r="F708" s="24" t="str">
        <f aca="false">Monthly!$A$28</f>
        <v>Office + lab lease near UCI (University Research Park)</v>
      </c>
      <c r="G708" s="20" t="n">
        <f aca="false">Monthly!AB$28</f>
        <v>22500</v>
      </c>
      <c r="H708" s="24" t="str">
        <f aca="false">ScenarioName</f>
        <v>Base</v>
      </c>
    </row>
    <row r="709" customFormat="false" ht="15" hidden="false" customHeight="false" outlineLevel="0" collapsed="false">
      <c r="A709" s="8" t="n">
        <v>24</v>
      </c>
      <c r="B709" s="39" t="n">
        <f aca="false">EDATE(StartDate,A709-1)</f>
        <v>47088</v>
      </c>
      <c r="C709" s="24" t="str">
        <f aca="false">Monthly!$B$28</f>
        <v>EnergyWave, Inc.</v>
      </c>
      <c r="D709" s="24" t="str">
        <f aca="false">Monthly!$C$28</f>
        <v>Facilities</v>
      </c>
      <c r="E709" s="24" t="str">
        <f aca="false">Monthly!$D$28</f>
        <v>Lease</v>
      </c>
      <c r="F709" s="24" t="str">
        <f aca="false">Monthly!$A$28</f>
        <v>Office + lab lease near UCI (University Research Park)</v>
      </c>
      <c r="G709" s="20" t="n">
        <f aca="false">Monthly!AC$28</f>
        <v>22500</v>
      </c>
      <c r="H709" s="24" t="str">
        <f aca="false">ScenarioName</f>
        <v>Base</v>
      </c>
    </row>
    <row r="710" customFormat="false" ht="15" hidden="false" customHeight="false" outlineLevel="0" collapsed="false">
      <c r="A710" s="8" t="n">
        <v>25</v>
      </c>
      <c r="B710" s="39" t="n">
        <f aca="false">EDATE(StartDate,A710-1)</f>
        <v>47119</v>
      </c>
      <c r="C710" s="24" t="str">
        <f aca="false">Monthly!$B$28</f>
        <v>EnergyWave, Inc.</v>
      </c>
      <c r="D710" s="24" t="str">
        <f aca="false">Monthly!$C$28</f>
        <v>Facilities</v>
      </c>
      <c r="E710" s="24" t="str">
        <f aca="false">Monthly!$D$28</f>
        <v>Lease</v>
      </c>
      <c r="F710" s="24" t="str">
        <f aca="false">Monthly!$A$28</f>
        <v>Office + lab lease near UCI (University Research Park)</v>
      </c>
      <c r="G710" s="20" t="n">
        <f aca="false">Monthly!AD$28</f>
        <v>22500</v>
      </c>
      <c r="H710" s="24" t="str">
        <f aca="false">ScenarioName</f>
        <v>Base</v>
      </c>
    </row>
    <row r="711" customFormat="false" ht="15" hidden="false" customHeight="false" outlineLevel="0" collapsed="false">
      <c r="A711" s="8" t="n">
        <v>26</v>
      </c>
      <c r="B711" s="39" t="n">
        <f aca="false">EDATE(StartDate,A711-1)</f>
        <v>47150</v>
      </c>
      <c r="C711" s="24" t="str">
        <f aca="false">Monthly!$B$28</f>
        <v>EnergyWave, Inc.</v>
      </c>
      <c r="D711" s="24" t="str">
        <f aca="false">Monthly!$C$28</f>
        <v>Facilities</v>
      </c>
      <c r="E711" s="24" t="str">
        <f aca="false">Monthly!$D$28</f>
        <v>Lease</v>
      </c>
      <c r="F711" s="24" t="str">
        <f aca="false">Monthly!$A$28</f>
        <v>Office + lab lease near UCI (University Research Park)</v>
      </c>
      <c r="G711" s="20" t="n">
        <f aca="false">Monthly!AE$28</f>
        <v>22500</v>
      </c>
      <c r="H711" s="24" t="str">
        <f aca="false">ScenarioName</f>
        <v>Base</v>
      </c>
    </row>
    <row r="712" customFormat="false" ht="15" hidden="false" customHeight="false" outlineLevel="0" collapsed="false">
      <c r="A712" s="8" t="n">
        <v>27</v>
      </c>
      <c r="B712" s="39" t="n">
        <f aca="false">EDATE(StartDate,A712-1)</f>
        <v>47178</v>
      </c>
      <c r="C712" s="24" t="str">
        <f aca="false">Monthly!$B$28</f>
        <v>EnergyWave, Inc.</v>
      </c>
      <c r="D712" s="24" t="str">
        <f aca="false">Monthly!$C$28</f>
        <v>Facilities</v>
      </c>
      <c r="E712" s="24" t="str">
        <f aca="false">Monthly!$D$28</f>
        <v>Lease</v>
      </c>
      <c r="F712" s="24" t="str">
        <f aca="false">Monthly!$A$28</f>
        <v>Office + lab lease near UCI (University Research Park)</v>
      </c>
      <c r="G712" s="20" t="n">
        <f aca="false">Monthly!AF$28</f>
        <v>22500</v>
      </c>
      <c r="H712" s="24" t="str">
        <f aca="false">ScenarioName</f>
        <v>Base</v>
      </c>
    </row>
    <row r="713" customFormat="false" ht="15" hidden="false" customHeight="false" outlineLevel="0" collapsed="false">
      <c r="A713" s="8" t="n">
        <v>28</v>
      </c>
      <c r="B713" s="39" t="n">
        <f aca="false">EDATE(StartDate,A713-1)</f>
        <v>47209</v>
      </c>
      <c r="C713" s="24" t="str">
        <f aca="false">Monthly!$B$28</f>
        <v>EnergyWave, Inc.</v>
      </c>
      <c r="D713" s="24" t="str">
        <f aca="false">Monthly!$C$28</f>
        <v>Facilities</v>
      </c>
      <c r="E713" s="24" t="str">
        <f aca="false">Monthly!$D$28</f>
        <v>Lease</v>
      </c>
      <c r="F713" s="24" t="str">
        <f aca="false">Monthly!$A$28</f>
        <v>Office + lab lease near UCI (University Research Park)</v>
      </c>
      <c r="G713" s="20" t="n">
        <f aca="false">Monthly!AG$28</f>
        <v>22500</v>
      </c>
      <c r="H713" s="24" t="str">
        <f aca="false">ScenarioName</f>
        <v>Base</v>
      </c>
    </row>
    <row r="714" customFormat="false" ht="15" hidden="false" customHeight="false" outlineLevel="0" collapsed="false">
      <c r="A714" s="8" t="n">
        <v>29</v>
      </c>
      <c r="B714" s="39" t="n">
        <f aca="false">EDATE(StartDate,A714-1)</f>
        <v>47239</v>
      </c>
      <c r="C714" s="24" t="str">
        <f aca="false">Monthly!$B$28</f>
        <v>EnergyWave, Inc.</v>
      </c>
      <c r="D714" s="24" t="str">
        <f aca="false">Monthly!$C$28</f>
        <v>Facilities</v>
      </c>
      <c r="E714" s="24" t="str">
        <f aca="false">Monthly!$D$28</f>
        <v>Lease</v>
      </c>
      <c r="F714" s="24" t="str">
        <f aca="false">Monthly!$A$28</f>
        <v>Office + lab lease near UCI (University Research Park)</v>
      </c>
      <c r="G714" s="20" t="n">
        <f aca="false">Monthly!AH$28</f>
        <v>22500</v>
      </c>
      <c r="H714" s="24" t="str">
        <f aca="false">ScenarioName</f>
        <v>Base</v>
      </c>
    </row>
    <row r="715" customFormat="false" ht="15" hidden="false" customHeight="false" outlineLevel="0" collapsed="false">
      <c r="A715" s="8" t="n">
        <v>30</v>
      </c>
      <c r="B715" s="39" t="n">
        <f aca="false">EDATE(StartDate,A715-1)</f>
        <v>47270</v>
      </c>
      <c r="C715" s="24" t="str">
        <f aca="false">Monthly!$B$28</f>
        <v>EnergyWave, Inc.</v>
      </c>
      <c r="D715" s="24" t="str">
        <f aca="false">Monthly!$C$28</f>
        <v>Facilities</v>
      </c>
      <c r="E715" s="24" t="str">
        <f aca="false">Monthly!$D$28</f>
        <v>Lease</v>
      </c>
      <c r="F715" s="24" t="str">
        <f aca="false">Monthly!$A$28</f>
        <v>Office + lab lease near UCI (University Research Park)</v>
      </c>
      <c r="G715" s="20" t="n">
        <f aca="false">Monthly!AI$28</f>
        <v>22500</v>
      </c>
      <c r="H715" s="24" t="str">
        <f aca="false">ScenarioName</f>
        <v>Base</v>
      </c>
    </row>
    <row r="716" customFormat="false" ht="15" hidden="false" customHeight="false" outlineLevel="0" collapsed="false">
      <c r="A716" s="8" t="n">
        <v>31</v>
      </c>
      <c r="B716" s="39" t="n">
        <f aca="false">EDATE(StartDate,A716-1)</f>
        <v>47300</v>
      </c>
      <c r="C716" s="24" t="str">
        <f aca="false">Monthly!$B$28</f>
        <v>EnergyWave, Inc.</v>
      </c>
      <c r="D716" s="24" t="str">
        <f aca="false">Monthly!$C$28</f>
        <v>Facilities</v>
      </c>
      <c r="E716" s="24" t="str">
        <f aca="false">Monthly!$D$28</f>
        <v>Lease</v>
      </c>
      <c r="F716" s="24" t="str">
        <f aca="false">Monthly!$A$28</f>
        <v>Office + lab lease near UCI (University Research Park)</v>
      </c>
      <c r="G716" s="20" t="n">
        <f aca="false">Monthly!AJ$28</f>
        <v>22500</v>
      </c>
      <c r="H716" s="24" t="str">
        <f aca="false">ScenarioName</f>
        <v>Base</v>
      </c>
    </row>
    <row r="717" customFormat="false" ht="15" hidden="false" customHeight="false" outlineLevel="0" collapsed="false">
      <c r="A717" s="8" t="n">
        <v>32</v>
      </c>
      <c r="B717" s="39" t="n">
        <f aca="false">EDATE(StartDate,A717-1)</f>
        <v>47331</v>
      </c>
      <c r="C717" s="24" t="str">
        <f aca="false">Monthly!$B$28</f>
        <v>EnergyWave, Inc.</v>
      </c>
      <c r="D717" s="24" t="str">
        <f aca="false">Monthly!$C$28</f>
        <v>Facilities</v>
      </c>
      <c r="E717" s="24" t="str">
        <f aca="false">Monthly!$D$28</f>
        <v>Lease</v>
      </c>
      <c r="F717" s="24" t="str">
        <f aca="false">Monthly!$A$28</f>
        <v>Office + lab lease near UCI (University Research Park)</v>
      </c>
      <c r="G717" s="20" t="n">
        <f aca="false">Monthly!AK$28</f>
        <v>22500</v>
      </c>
      <c r="H717" s="24" t="str">
        <f aca="false">ScenarioName</f>
        <v>Base</v>
      </c>
    </row>
    <row r="718" customFormat="false" ht="15" hidden="false" customHeight="false" outlineLevel="0" collapsed="false">
      <c r="A718" s="8" t="n">
        <v>33</v>
      </c>
      <c r="B718" s="39" t="n">
        <f aca="false">EDATE(StartDate,A718-1)</f>
        <v>47362</v>
      </c>
      <c r="C718" s="24" t="str">
        <f aca="false">Monthly!$B$28</f>
        <v>EnergyWave, Inc.</v>
      </c>
      <c r="D718" s="24" t="str">
        <f aca="false">Monthly!$C$28</f>
        <v>Facilities</v>
      </c>
      <c r="E718" s="24" t="str">
        <f aca="false">Monthly!$D$28</f>
        <v>Lease</v>
      </c>
      <c r="F718" s="24" t="str">
        <f aca="false">Monthly!$A$28</f>
        <v>Office + lab lease near UCI (University Research Park)</v>
      </c>
      <c r="G718" s="20" t="n">
        <f aca="false">Monthly!AL$28</f>
        <v>22500</v>
      </c>
      <c r="H718" s="24" t="str">
        <f aca="false">ScenarioName</f>
        <v>Base</v>
      </c>
    </row>
    <row r="719" customFormat="false" ht="15" hidden="false" customHeight="false" outlineLevel="0" collapsed="false">
      <c r="A719" s="8" t="n">
        <v>34</v>
      </c>
      <c r="B719" s="39" t="n">
        <f aca="false">EDATE(StartDate,A719-1)</f>
        <v>47392</v>
      </c>
      <c r="C719" s="24" t="str">
        <f aca="false">Monthly!$B$28</f>
        <v>EnergyWave, Inc.</v>
      </c>
      <c r="D719" s="24" t="str">
        <f aca="false">Monthly!$C$28</f>
        <v>Facilities</v>
      </c>
      <c r="E719" s="24" t="str">
        <f aca="false">Monthly!$D$28</f>
        <v>Lease</v>
      </c>
      <c r="F719" s="24" t="str">
        <f aca="false">Monthly!$A$28</f>
        <v>Office + lab lease near UCI (University Research Park)</v>
      </c>
      <c r="G719" s="20" t="n">
        <f aca="false">Monthly!AM$28</f>
        <v>22500</v>
      </c>
      <c r="H719" s="24" t="str">
        <f aca="false">ScenarioName</f>
        <v>Base</v>
      </c>
    </row>
    <row r="720" customFormat="false" ht="15" hidden="false" customHeight="false" outlineLevel="0" collapsed="false">
      <c r="A720" s="8" t="n">
        <v>35</v>
      </c>
      <c r="B720" s="39" t="n">
        <f aca="false">EDATE(StartDate,A720-1)</f>
        <v>47423</v>
      </c>
      <c r="C720" s="24" t="str">
        <f aca="false">Monthly!$B$28</f>
        <v>EnergyWave, Inc.</v>
      </c>
      <c r="D720" s="24" t="str">
        <f aca="false">Monthly!$C$28</f>
        <v>Facilities</v>
      </c>
      <c r="E720" s="24" t="str">
        <f aca="false">Monthly!$D$28</f>
        <v>Lease</v>
      </c>
      <c r="F720" s="24" t="str">
        <f aca="false">Monthly!$A$28</f>
        <v>Office + lab lease near UCI (University Research Park)</v>
      </c>
      <c r="G720" s="20" t="n">
        <f aca="false">Monthly!AN$28</f>
        <v>22500</v>
      </c>
      <c r="H720" s="24" t="str">
        <f aca="false">ScenarioName</f>
        <v>Base</v>
      </c>
    </row>
    <row r="721" customFormat="false" ht="15" hidden="false" customHeight="false" outlineLevel="0" collapsed="false">
      <c r="A721" s="8" t="n">
        <v>36</v>
      </c>
      <c r="B721" s="39" t="n">
        <f aca="false">EDATE(StartDate,A721-1)</f>
        <v>47453</v>
      </c>
      <c r="C721" s="24" t="str">
        <f aca="false">Monthly!$B$28</f>
        <v>EnergyWave, Inc.</v>
      </c>
      <c r="D721" s="24" t="str">
        <f aca="false">Monthly!$C$28</f>
        <v>Facilities</v>
      </c>
      <c r="E721" s="24" t="str">
        <f aca="false">Monthly!$D$28</f>
        <v>Lease</v>
      </c>
      <c r="F721" s="24" t="str">
        <f aca="false">Monthly!$A$28</f>
        <v>Office + lab lease near UCI (University Research Park)</v>
      </c>
      <c r="G721" s="20" t="n">
        <f aca="false">Monthly!AO$28</f>
        <v>22500</v>
      </c>
      <c r="H721" s="24" t="str">
        <f aca="false">ScenarioName</f>
        <v>Base</v>
      </c>
    </row>
    <row r="722" customFormat="false" ht="15" hidden="false" customHeight="false" outlineLevel="0" collapsed="false">
      <c r="A722" s="8" t="n">
        <v>1</v>
      </c>
      <c r="B722" s="39" t="n">
        <f aca="false">EDATE(StartDate,A722-1)</f>
        <v>46388</v>
      </c>
      <c r="C722" s="24" t="str">
        <f aca="false">Monthly!$B$29</f>
        <v>EnergyWave, Inc.</v>
      </c>
      <c r="D722" s="24" t="str">
        <f aca="false">Monthly!$C$29</f>
        <v>Facilities</v>
      </c>
      <c r="E722" s="24" t="str">
        <f aca="false">Monthly!$D$29</f>
        <v>Deposit</v>
      </c>
      <c r="F722" s="24" t="str">
        <f aca="false">Monthly!$A$29</f>
        <v>Security deposit</v>
      </c>
      <c r="G722" s="20" t="n">
        <f aca="false">Monthly!F$29</f>
        <v>0</v>
      </c>
      <c r="H722" s="24" t="str">
        <f aca="false">ScenarioName</f>
        <v>Base</v>
      </c>
    </row>
    <row r="723" customFormat="false" ht="15" hidden="false" customHeight="false" outlineLevel="0" collapsed="false">
      <c r="A723" s="8" t="n">
        <v>2</v>
      </c>
      <c r="B723" s="39" t="n">
        <f aca="false">EDATE(StartDate,A723-1)</f>
        <v>46419</v>
      </c>
      <c r="C723" s="24" t="str">
        <f aca="false">Monthly!$B$29</f>
        <v>EnergyWave, Inc.</v>
      </c>
      <c r="D723" s="24" t="str">
        <f aca="false">Monthly!$C$29</f>
        <v>Facilities</v>
      </c>
      <c r="E723" s="24" t="str">
        <f aca="false">Monthly!$D$29</f>
        <v>Deposit</v>
      </c>
      <c r="F723" s="24" t="str">
        <f aca="false">Monthly!$A$29</f>
        <v>Security deposit</v>
      </c>
      <c r="G723" s="20" t="n">
        <f aca="false">Monthly!G$29</f>
        <v>45000</v>
      </c>
      <c r="H723" s="24" t="str">
        <f aca="false">ScenarioName</f>
        <v>Base</v>
      </c>
    </row>
    <row r="724" customFormat="false" ht="15" hidden="false" customHeight="false" outlineLevel="0" collapsed="false">
      <c r="A724" s="8" t="n">
        <v>3</v>
      </c>
      <c r="B724" s="39" t="n">
        <f aca="false">EDATE(StartDate,A724-1)</f>
        <v>46447</v>
      </c>
      <c r="C724" s="24" t="str">
        <f aca="false">Monthly!$B$29</f>
        <v>EnergyWave, Inc.</v>
      </c>
      <c r="D724" s="24" t="str">
        <f aca="false">Monthly!$C$29</f>
        <v>Facilities</v>
      </c>
      <c r="E724" s="24" t="str">
        <f aca="false">Monthly!$D$29</f>
        <v>Deposit</v>
      </c>
      <c r="F724" s="24" t="str">
        <f aca="false">Monthly!$A$29</f>
        <v>Security deposit</v>
      </c>
      <c r="G724" s="20" t="n">
        <f aca="false">Monthly!H$29</f>
        <v>0</v>
      </c>
      <c r="H724" s="24" t="str">
        <f aca="false">ScenarioName</f>
        <v>Base</v>
      </c>
    </row>
    <row r="725" customFormat="false" ht="15" hidden="false" customHeight="false" outlineLevel="0" collapsed="false">
      <c r="A725" s="8" t="n">
        <v>4</v>
      </c>
      <c r="B725" s="39" t="n">
        <f aca="false">EDATE(StartDate,A725-1)</f>
        <v>46478</v>
      </c>
      <c r="C725" s="24" t="str">
        <f aca="false">Monthly!$B$29</f>
        <v>EnergyWave, Inc.</v>
      </c>
      <c r="D725" s="24" t="str">
        <f aca="false">Monthly!$C$29</f>
        <v>Facilities</v>
      </c>
      <c r="E725" s="24" t="str">
        <f aca="false">Monthly!$D$29</f>
        <v>Deposit</v>
      </c>
      <c r="F725" s="24" t="str">
        <f aca="false">Monthly!$A$29</f>
        <v>Security deposit</v>
      </c>
      <c r="G725" s="20" t="n">
        <f aca="false">Monthly!I$29</f>
        <v>0</v>
      </c>
      <c r="H725" s="24" t="str">
        <f aca="false">ScenarioName</f>
        <v>Base</v>
      </c>
    </row>
    <row r="726" customFormat="false" ht="15" hidden="false" customHeight="false" outlineLevel="0" collapsed="false">
      <c r="A726" s="8" t="n">
        <v>5</v>
      </c>
      <c r="B726" s="39" t="n">
        <f aca="false">EDATE(StartDate,A726-1)</f>
        <v>46508</v>
      </c>
      <c r="C726" s="24" t="str">
        <f aca="false">Monthly!$B$29</f>
        <v>EnergyWave, Inc.</v>
      </c>
      <c r="D726" s="24" t="str">
        <f aca="false">Monthly!$C$29</f>
        <v>Facilities</v>
      </c>
      <c r="E726" s="24" t="str">
        <f aca="false">Monthly!$D$29</f>
        <v>Deposit</v>
      </c>
      <c r="F726" s="24" t="str">
        <f aca="false">Monthly!$A$29</f>
        <v>Security deposit</v>
      </c>
      <c r="G726" s="20" t="n">
        <f aca="false">Monthly!J$29</f>
        <v>0</v>
      </c>
      <c r="H726" s="24" t="str">
        <f aca="false">ScenarioName</f>
        <v>Base</v>
      </c>
    </row>
    <row r="727" customFormat="false" ht="15" hidden="false" customHeight="false" outlineLevel="0" collapsed="false">
      <c r="A727" s="8" t="n">
        <v>6</v>
      </c>
      <c r="B727" s="39" t="n">
        <f aca="false">EDATE(StartDate,A727-1)</f>
        <v>46539</v>
      </c>
      <c r="C727" s="24" t="str">
        <f aca="false">Monthly!$B$29</f>
        <v>EnergyWave, Inc.</v>
      </c>
      <c r="D727" s="24" t="str">
        <f aca="false">Monthly!$C$29</f>
        <v>Facilities</v>
      </c>
      <c r="E727" s="24" t="str">
        <f aca="false">Monthly!$D$29</f>
        <v>Deposit</v>
      </c>
      <c r="F727" s="24" t="str">
        <f aca="false">Monthly!$A$29</f>
        <v>Security deposit</v>
      </c>
      <c r="G727" s="20" t="n">
        <f aca="false">Monthly!K$29</f>
        <v>0</v>
      </c>
      <c r="H727" s="24" t="str">
        <f aca="false">ScenarioName</f>
        <v>Base</v>
      </c>
    </row>
    <row r="728" customFormat="false" ht="15" hidden="false" customHeight="false" outlineLevel="0" collapsed="false">
      <c r="A728" s="8" t="n">
        <v>7</v>
      </c>
      <c r="B728" s="39" t="n">
        <f aca="false">EDATE(StartDate,A728-1)</f>
        <v>46569</v>
      </c>
      <c r="C728" s="24" t="str">
        <f aca="false">Monthly!$B$29</f>
        <v>EnergyWave, Inc.</v>
      </c>
      <c r="D728" s="24" t="str">
        <f aca="false">Monthly!$C$29</f>
        <v>Facilities</v>
      </c>
      <c r="E728" s="24" t="str">
        <f aca="false">Monthly!$D$29</f>
        <v>Deposit</v>
      </c>
      <c r="F728" s="24" t="str">
        <f aca="false">Monthly!$A$29</f>
        <v>Security deposit</v>
      </c>
      <c r="G728" s="20" t="n">
        <f aca="false">Monthly!L$29</f>
        <v>0</v>
      </c>
      <c r="H728" s="24" t="str">
        <f aca="false">ScenarioName</f>
        <v>Base</v>
      </c>
    </row>
    <row r="729" customFormat="false" ht="15" hidden="false" customHeight="false" outlineLevel="0" collapsed="false">
      <c r="A729" s="8" t="n">
        <v>8</v>
      </c>
      <c r="B729" s="39" t="n">
        <f aca="false">EDATE(StartDate,A729-1)</f>
        <v>46600</v>
      </c>
      <c r="C729" s="24" t="str">
        <f aca="false">Monthly!$B$29</f>
        <v>EnergyWave, Inc.</v>
      </c>
      <c r="D729" s="24" t="str">
        <f aca="false">Monthly!$C$29</f>
        <v>Facilities</v>
      </c>
      <c r="E729" s="24" t="str">
        <f aca="false">Monthly!$D$29</f>
        <v>Deposit</v>
      </c>
      <c r="F729" s="24" t="str">
        <f aca="false">Monthly!$A$29</f>
        <v>Security deposit</v>
      </c>
      <c r="G729" s="20" t="n">
        <f aca="false">Monthly!M$29</f>
        <v>0</v>
      </c>
      <c r="H729" s="24" t="str">
        <f aca="false">ScenarioName</f>
        <v>Base</v>
      </c>
    </row>
    <row r="730" customFormat="false" ht="15" hidden="false" customHeight="false" outlineLevel="0" collapsed="false">
      <c r="A730" s="8" t="n">
        <v>9</v>
      </c>
      <c r="B730" s="39" t="n">
        <f aca="false">EDATE(StartDate,A730-1)</f>
        <v>46631</v>
      </c>
      <c r="C730" s="24" t="str">
        <f aca="false">Monthly!$B$29</f>
        <v>EnergyWave, Inc.</v>
      </c>
      <c r="D730" s="24" t="str">
        <f aca="false">Monthly!$C$29</f>
        <v>Facilities</v>
      </c>
      <c r="E730" s="24" t="str">
        <f aca="false">Monthly!$D$29</f>
        <v>Deposit</v>
      </c>
      <c r="F730" s="24" t="str">
        <f aca="false">Monthly!$A$29</f>
        <v>Security deposit</v>
      </c>
      <c r="G730" s="20" t="n">
        <f aca="false">Monthly!N$29</f>
        <v>0</v>
      </c>
      <c r="H730" s="24" t="str">
        <f aca="false">ScenarioName</f>
        <v>Base</v>
      </c>
    </row>
    <row r="731" customFormat="false" ht="15" hidden="false" customHeight="false" outlineLevel="0" collapsed="false">
      <c r="A731" s="8" t="n">
        <v>10</v>
      </c>
      <c r="B731" s="39" t="n">
        <f aca="false">EDATE(StartDate,A731-1)</f>
        <v>46661</v>
      </c>
      <c r="C731" s="24" t="str">
        <f aca="false">Monthly!$B$29</f>
        <v>EnergyWave, Inc.</v>
      </c>
      <c r="D731" s="24" t="str">
        <f aca="false">Monthly!$C$29</f>
        <v>Facilities</v>
      </c>
      <c r="E731" s="24" t="str">
        <f aca="false">Monthly!$D$29</f>
        <v>Deposit</v>
      </c>
      <c r="F731" s="24" t="str">
        <f aca="false">Monthly!$A$29</f>
        <v>Security deposit</v>
      </c>
      <c r="G731" s="20" t="n">
        <f aca="false">Monthly!O$29</f>
        <v>0</v>
      </c>
      <c r="H731" s="24" t="str">
        <f aca="false">ScenarioName</f>
        <v>Base</v>
      </c>
    </row>
    <row r="732" customFormat="false" ht="15" hidden="false" customHeight="false" outlineLevel="0" collapsed="false">
      <c r="A732" s="8" t="n">
        <v>11</v>
      </c>
      <c r="B732" s="39" t="n">
        <f aca="false">EDATE(StartDate,A732-1)</f>
        <v>46692</v>
      </c>
      <c r="C732" s="24" t="str">
        <f aca="false">Monthly!$B$29</f>
        <v>EnergyWave, Inc.</v>
      </c>
      <c r="D732" s="24" t="str">
        <f aca="false">Monthly!$C$29</f>
        <v>Facilities</v>
      </c>
      <c r="E732" s="24" t="str">
        <f aca="false">Monthly!$D$29</f>
        <v>Deposit</v>
      </c>
      <c r="F732" s="24" t="str">
        <f aca="false">Monthly!$A$29</f>
        <v>Security deposit</v>
      </c>
      <c r="G732" s="20" t="n">
        <f aca="false">Monthly!P$29</f>
        <v>0</v>
      </c>
      <c r="H732" s="24" t="str">
        <f aca="false">ScenarioName</f>
        <v>Base</v>
      </c>
    </row>
    <row r="733" customFormat="false" ht="15" hidden="false" customHeight="false" outlineLevel="0" collapsed="false">
      <c r="A733" s="8" t="n">
        <v>12</v>
      </c>
      <c r="B733" s="39" t="n">
        <f aca="false">EDATE(StartDate,A733-1)</f>
        <v>46722</v>
      </c>
      <c r="C733" s="24" t="str">
        <f aca="false">Monthly!$B$29</f>
        <v>EnergyWave, Inc.</v>
      </c>
      <c r="D733" s="24" t="str">
        <f aca="false">Monthly!$C$29</f>
        <v>Facilities</v>
      </c>
      <c r="E733" s="24" t="str">
        <f aca="false">Monthly!$D$29</f>
        <v>Deposit</v>
      </c>
      <c r="F733" s="24" t="str">
        <f aca="false">Monthly!$A$29</f>
        <v>Security deposit</v>
      </c>
      <c r="G733" s="20" t="n">
        <f aca="false">Monthly!Q$29</f>
        <v>0</v>
      </c>
      <c r="H733" s="24" t="str">
        <f aca="false">ScenarioName</f>
        <v>Base</v>
      </c>
    </row>
    <row r="734" customFormat="false" ht="15" hidden="false" customHeight="false" outlineLevel="0" collapsed="false">
      <c r="A734" s="8" t="n">
        <v>13</v>
      </c>
      <c r="B734" s="39" t="n">
        <f aca="false">EDATE(StartDate,A734-1)</f>
        <v>46753</v>
      </c>
      <c r="C734" s="24" t="str">
        <f aca="false">Monthly!$B$29</f>
        <v>EnergyWave, Inc.</v>
      </c>
      <c r="D734" s="24" t="str">
        <f aca="false">Monthly!$C$29</f>
        <v>Facilities</v>
      </c>
      <c r="E734" s="24" t="str">
        <f aca="false">Monthly!$D$29</f>
        <v>Deposit</v>
      </c>
      <c r="F734" s="24" t="str">
        <f aca="false">Monthly!$A$29</f>
        <v>Security deposit</v>
      </c>
      <c r="G734" s="20" t="n">
        <f aca="false">Monthly!R$29</f>
        <v>0</v>
      </c>
      <c r="H734" s="24" t="str">
        <f aca="false">ScenarioName</f>
        <v>Base</v>
      </c>
    </row>
    <row r="735" customFormat="false" ht="15" hidden="false" customHeight="false" outlineLevel="0" collapsed="false">
      <c r="A735" s="8" t="n">
        <v>14</v>
      </c>
      <c r="B735" s="39" t="n">
        <f aca="false">EDATE(StartDate,A735-1)</f>
        <v>46784</v>
      </c>
      <c r="C735" s="24" t="str">
        <f aca="false">Monthly!$B$29</f>
        <v>EnergyWave, Inc.</v>
      </c>
      <c r="D735" s="24" t="str">
        <f aca="false">Monthly!$C$29</f>
        <v>Facilities</v>
      </c>
      <c r="E735" s="24" t="str">
        <f aca="false">Monthly!$D$29</f>
        <v>Deposit</v>
      </c>
      <c r="F735" s="24" t="str">
        <f aca="false">Monthly!$A$29</f>
        <v>Security deposit</v>
      </c>
      <c r="G735" s="20" t="n">
        <f aca="false">Monthly!S$29</f>
        <v>0</v>
      </c>
      <c r="H735" s="24" t="str">
        <f aca="false">ScenarioName</f>
        <v>Base</v>
      </c>
    </row>
    <row r="736" customFormat="false" ht="15" hidden="false" customHeight="false" outlineLevel="0" collapsed="false">
      <c r="A736" s="8" t="n">
        <v>15</v>
      </c>
      <c r="B736" s="39" t="n">
        <f aca="false">EDATE(StartDate,A736-1)</f>
        <v>46813</v>
      </c>
      <c r="C736" s="24" t="str">
        <f aca="false">Monthly!$B$29</f>
        <v>EnergyWave, Inc.</v>
      </c>
      <c r="D736" s="24" t="str">
        <f aca="false">Monthly!$C$29</f>
        <v>Facilities</v>
      </c>
      <c r="E736" s="24" t="str">
        <f aca="false">Monthly!$D$29</f>
        <v>Deposit</v>
      </c>
      <c r="F736" s="24" t="str">
        <f aca="false">Monthly!$A$29</f>
        <v>Security deposit</v>
      </c>
      <c r="G736" s="20" t="n">
        <f aca="false">Monthly!T$29</f>
        <v>0</v>
      </c>
      <c r="H736" s="24" t="str">
        <f aca="false">ScenarioName</f>
        <v>Base</v>
      </c>
    </row>
    <row r="737" customFormat="false" ht="15" hidden="false" customHeight="false" outlineLevel="0" collapsed="false">
      <c r="A737" s="8" t="n">
        <v>16</v>
      </c>
      <c r="B737" s="39" t="n">
        <f aca="false">EDATE(StartDate,A737-1)</f>
        <v>46844</v>
      </c>
      <c r="C737" s="24" t="str">
        <f aca="false">Monthly!$B$29</f>
        <v>EnergyWave, Inc.</v>
      </c>
      <c r="D737" s="24" t="str">
        <f aca="false">Monthly!$C$29</f>
        <v>Facilities</v>
      </c>
      <c r="E737" s="24" t="str">
        <f aca="false">Monthly!$D$29</f>
        <v>Deposit</v>
      </c>
      <c r="F737" s="24" t="str">
        <f aca="false">Monthly!$A$29</f>
        <v>Security deposit</v>
      </c>
      <c r="G737" s="20" t="n">
        <f aca="false">Monthly!U$29</f>
        <v>0</v>
      </c>
      <c r="H737" s="24" t="str">
        <f aca="false">ScenarioName</f>
        <v>Base</v>
      </c>
    </row>
    <row r="738" customFormat="false" ht="15" hidden="false" customHeight="false" outlineLevel="0" collapsed="false">
      <c r="A738" s="8" t="n">
        <v>17</v>
      </c>
      <c r="B738" s="39" t="n">
        <f aca="false">EDATE(StartDate,A738-1)</f>
        <v>46874</v>
      </c>
      <c r="C738" s="24" t="str">
        <f aca="false">Monthly!$B$29</f>
        <v>EnergyWave, Inc.</v>
      </c>
      <c r="D738" s="24" t="str">
        <f aca="false">Monthly!$C$29</f>
        <v>Facilities</v>
      </c>
      <c r="E738" s="24" t="str">
        <f aca="false">Monthly!$D$29</f>
        <v>Deposit</v>
      </c>
      <c r="F738" s="24" t="str">
        <f aca="false">Monthly!$A$29</f>
        <v>Security deposit</v>
      </c>
      <c r="G738" s="20" t="n">
        <f aca="false">Monthly!V$29</f>
        <v>0</v>
      </c>
      <c r="H738" s="24" t="str">
        <f aca="false">ScenarioName</f>
        <v>Base</v>
      </c>
    </row>
    <row r="739" customFormat="false" ht="15" hidden="false" customHeight="false" outlineLevel="0" collapsed="false">
      <c r="A739" s="8" t="n">
        <v>18</v>
      </c>
      <c r="B739" s="39" t="n">
        <f aca="false">EDATE(StartDate,A739-1)</f>
        <v>46905</v>
      </c>
      <c r="C739" s="24" t="str">
        <f aca="false">Monthly!$B$29</f>
        <v>EnergyWave, Inc.</v>
      </c>
      <c r="D739" s="24" t="str">
        <f aca="false">Monthly!$C$29</f>
        <v>Facilities</v>
      </c>
      <c r="E739" s="24" t="str">
        <f aca="false">Monthly!$D$29</f>
        <v>Deposit</v>
      </c>
      <c r="F739" s="24" t="str">
        <f aca="false">Monthly!$A$29</f>
        <v>Security deposit</v>
      </c>
      <c r="G739" s="20" t="n">
        <f aca="false">Monthly!W$29</f>
        <v>0</v>
      </c>
      <c r="H739" s="24" t="str">
        <f aca="false">ScenarioName</f>
        <v>Base</v>
      </c>
    </row>
    <row r="740" customFormat="false" ht="15" hidden="false" customHeight="false" outlineLevel="0" collapsed="false">
      <c r="A740" s="8" t="n">
        <v>19</v>
      </c>
      <c r="B740" s="39" t="n">
        <f aca="false">EDATE(StartDate,A740-1)</f>
        <v>46935</v>
      </c>
      <c r="C740" s="24" t="str">
        <f aca="false">Monthly!$B$29</f>
        <v>EnergyWave, Inc.</v>
      </c>
      <c r="D740" s="24" t="str">
        <f aca="false">Monthly!$C$29</f>
        <v>Facilities</v>
      </c>
      <c r="E740" s="24" t="str">
        <f aca="false">Monthly!$D$29</f>
        <v>Deposit</v>
      </c>
      <c r="F740" s="24" t="str">
        <f aca="false">Monthly!$A$29</f>
        <v>Security deposit</v>
      </c>
      <c r="G740" s="20" t="n">
        <f aca="false">Monthly!X$29</f>
        <v>0</v>
      </c>
      <c r="H740" s="24" t="str">
        <f aca="false">ScenarioName</f>
        <v>Base</v>
      </c>
    </row>
    <row r="741" customFormat="false" ht="15" hidden="false" customHeight="false" outlineLevel="0" collapsed="false">
      <c r="A741" s="8" t="n">
        <v>20</v>
      </c>
      <c r="B741" s="39" t="n">
        <f aca="false">EDATE(StartDate,A741-1)</f>
        <v>46966</v>
      </c>
      <c r="C741" s="24" t="str">
        <f aca="false">Monthly!$B$29</f>
        <v>EnergyWave, Inc.</v>
      </c>
      <c r="D741" s="24" t="str">
        <f aca="false">Monthly!$C$29</f>
        <v>Facilities</v>
      </c>
      <c r="E741" s="24" t="str">
        <f aca="false">Monthly!$D$29</f>
        <v>Deposit</v>
      </c>
      <c r="F741" s="24" t="str">
        <f aca="false">Monthly!$A$29</f>
        <v>Security deposit</v>
      </c>
      <c r="G741" s="20" t="n">
        <f aca="false">Monthly!Y$29</f>
        <v>0</v>
      </c>
      <c r="H741" s="24" t="str">
        <f aca="false">ScenarioName</f>
        <v>Base</v>
      </c>
    </row>
    <row r="742" customFormat="false" ht="15" hidden="false" customHeight="false" outlineLevel="0" collapsed="false">
      <c r="A742" s="8" t="n">
        <v>21</v>
      </c>
      <c r="B742" s="39" t="n">
        <f aca="false">EDATE(StartDate,A742-1)</f>
        <v>46997</v>
      </c>
      <c r="C742" s="24" t="str">
        <f aca="false">Monthly!$B$29</f>
        <v>EnergyWave, Inc.</v>
      </c>
      <c r="D742" s="24" t="str">
        <f aca="false">Monthly!$C$29</f>
        <v>Facilities</v>
      </c>
      <c r="E742" s="24" t="str">
        <f aca="false">Monthly!$D$29</f>
        <v>Deposit</v>
      </c>
      <c r="F742" s="24" t="str">
        <f aca="false">Monthly!$A$29</f>
        <v>Security deposit</v>
      </c>
      <c r="G742" s="20" t="n">
        <f aca="false">Monthly!Z$29</f>
        <v>0</v>
      </c>
      <c r="H742" s="24" t="str">
        <f aca="false">ScenarioName</f>
        <v>Base</v>
      </c>
    </row>
    <row r="743" customFormat="false" ht="15" hidden="false" customHeight="false" outlineLevel="0" collapsed="false">
      <c r="A743" s="8" t="n">
        <v>22</v>
      </c>
      <c r="B743" s="39" t="n">
        <f aca="false">EDATE(StartDate,A743-1)</f>
        <v>47027</v>
      </c>
      <c r="C743" s="24" t="str">
        <f aca="false">Monthly!$B$29</f>
        <v>EnergyWave, Inc.</v>
      </c>
      <c r="D743" s="24" t="str">
        <f aca="false">Monthly!$C$29</f>
        <v>Facilities</v>
      </c>
      <c r="E743" s="24" t="str">
        <f aca="false">Monthly!$D$29</f>
        <v>Deposit</v>
      </c>
      <c r="F743" s="24" t="str">
        <f aca="false">Monthly!$A$29</f>
        <v>Security deposit</v>
      </c>
      <c r="G743" s="20" t="n">
        <f aca="false">Monthly!AA$29</f>
        <v>0</v>
      </c>
      <c r="H743" s="24" t="str">
        <f aca="false">ScenarioName</f>
        <v>Base</v>
      </c>
    </row>
    <row r="744" customFormat="false" ht="15" hidden="false" customHeight="false" outlineLevel="0" collapsed="false">
      <c r="A744" s="8" t="n">
        <v>23</v>
      </c>
      <c r="B744" s="39" t="n">
        <f aca="false">EDATE(StartDate,A744-1)</f>
        <v>47058</v>
      </c>
      <c r="C744" s="24" t="str">
        <f aca="false">Monthly!$B$29</f>
        <v>EnergyWave, Inc.</v>
      </c>
      <c r="D744" s="24" t="str">
        <f aca="false">Monthly!$C$29</f>
        <v>Facilities</v>
      </c>
      <c r="E744" s="24" t="str">
        <f aca="false">Monthly!$D$29</f>
        <v>Deposit</v>
      </c>
      <c r="F744" s="24" t="str">
        <f aca="false">Monthly!$A$29</f>
        <v>Security deposit</v>
      </c>
      <c r="G744" s="20" t="n">
        <f aca="false">Monthly!AB$29</f>
        <v>0</v>
      </c>
      <c r="H744" s="24" t="str">
        <f aca="false">ScenarioName</f>
        <v>Base</v>
      </c>
    </row>
    <row r="745" customFormat="false" ht="15" hidden="false" customHeight="false" outlineLevel="0" collapsed="false">
      <c r="A745" s="8" t="n">
        <v>24</v>
      </c>
      <c r="B745" s="39" t="n">
        <f aca="false">EDATE(StartDate,A745-1)</f>
        <v>47088</v>
      </c>
      <c r="C745" s="24" t="str">
        <f aca="false">Monthly!$B$29</f>
        <v>EnergyWave, Inc.</v>
      </c>
      <c r="D745" s="24" t="str">
        <f aca="false">Monthly!$C$29</f>
        <v>Facilities</v>
      </c>
      <c r="E745" s="24" t="str">
        <f aca="false">Monthly!$D$29</f>
        <v>Deposit</v>
      </c>
      <c r="F745" s="24" t="str">
        <f aca="false">Monthly!$A$29</f>
        <v>Security deposit</v>
      </c>
      <c r="G745" s="20" t="n">
        <f aca="false">Monthly!AC$29</f>
        <v>0</v>
      </c>
      <c r="H745" s="24" t="str">
        <f aca="false">ScenarioName</f>
        <v>Base</v>
      </c>
    </row>
    <row r="746" customFormat="false" ht="15" hidden="false" customHeight="false" outlineLevel="0" collapsed="false">
      <c r="A746" s="8" t="n">
        <v>25</v>
      </c>
      <c r="B746" s="39" t="n">
        <f aca="false">EDATE(StartDate,A746-1)</f>
        <v>47119</v>
      </c>
      <c r="C746" s="24" t="str">
        <f aca="false">Monthly!$B$29</f>
        <v>EnergyWave, Inc.</v>
      </c>
      <c r="D746" s="24" t="str">
        <f aca="false">Monthly!$C$29</f>
        <v>Facilities</v>
      </c>
      <c r="E746" s="24" t="str">
        <f aca="false">Monthly!$D$29</f>
        <v>Deposit</v>
      </c>
      <c r="F746" s="24" t="str">
        <f aca="false">Monthly!$A$29</f>
        <v>Security deposit</v>
      </c>
      <c r="G746" s="20" t="n">
        <f aca="false">Monthly!AD$29</f>
        <v>0</v>
      </c>
      <c r="H746" s="24" t="str">
        <f aca="false">ScenarioName</f>
        <v>Base</v>
      </c>
    </row>
    <row r="747" customFormat="false" ht="15" hidden="false" customHeight="false" outlineLevel="0" collapsed="false">
      <c r="A747" s="8" t="n">
        <v>26</v>
      </c>
      <c r="B747" s="39" t="n">
        <f aca="false">EDATE(StartDate,A747-1)</f>
        <v>47150</v>
      </c>
      <c r="C747" s="24" t="str">
        <f aca="false">Monthly!$B$29</f>
        <v>EnergyWave, Inc.</v>
      </c>
      <c r="D747" s="24" t="str">
        <f aca="false">Monthly!$C$29</f>
        <v>Facilities</v>
      </c>
      <c r="E747" s="24" t="str">
        <f aca="false">Monthly!$D$29</f>
        <v>Deposit</v>
      </c>
      <c r="F747" s="24" t="str">
        <f aca="false">Monthly!$A$29</f>
        <v>Security deposit</v>
      </c>
      <c r="G747" s="20" t="n">
        <f aca="false">Monthly!AE$29</f>
        <v>0</v>
      </c>
      <c r="H747" s="24" t="str">
        <f aca="false">ScenarioName</f>
        <v>Base</v>
      </c>
    </row>
    <row r="748" customFormat="false" ht="15" hidden="false" customHeight="false" outlineLevel="0" collapsed="false">
      <c r="A748" s="8" t="n">
        <v>27</v>
      </c>
      <c r="B748" s="39" t="n">
        <f aca="false">EDATE(StartDate,A748-1)</f>
        <v>47178</v>
      </c>
      <c r="C748" s="24" t="str">
        <f aca="false">Monthly!$B$29</f>
        <v>EnergyWave, Inc.</v>
      </c>
      <c r="D748" s="24" t="str">
        <f aca="false">Monthly!$C$29</f>
        <v>Facilities</v>
      </c>
      <c r="E748" s="24" t="str">
        <f aca="false">Monthly!$D$29</f>
        <v>Deposit</v>
      </c>
      <c r="F748" s="24" t="str">
        <f aca="false">Monthly!$A$29</f>
        <v>Security deposit</v>
      </c>
      <c r="G748" s="20" t="n">
        <f aca="false">Monthly!AF$29</f>
        <v>0</v>
      </c>
      <c r="H748" s="24" t="str">
        <f aca="false">ScenarioName</f>
        <v>Base</v>
      </c>
    </row>
    <row r="749" customFormat="false" ht="15" hidden="false" customHeight="false" outlineLevel="0" collapsed="false">
      <c r="A749" s="8" t="n">
        <v>28</v>
      </c>
      <c r="B749" s="39" t="n">
        <f aca="false">EDATE(StartDate,A749-1)</f>
        <v>47209</v>
      </c>
      <c r="C749" s="24" t="str">
        <f aca="false">Monthly!$B$29</f>
        <v>EnergyWave, Inc.</v>
      </c>
      <c r="D749" s="24" t="str">
        <f aca="false">Monthly!$C$29</f>
        <v>Facilities</v>
      </c>
      <c r="E749" s="24" t="str">
        <f aca="false">Monthly!$D$29</f>
        <v>Deposit</v>
      </c>
      <c r="F749" s="24" t="str">
        <f aca="false">Monthly!$A$29</f>
        <v>Security deposit</v>
      </c>
      <c r="G749" s="20" t="n">
        <f aca="false">Monthly!AG$29</f>
        <v>0</v>
      </c>
      <c r="H749" s="24" t="str">
        <f aca="false">ScenarioName</f>
        <v>Base</v>
      </c>
    </row>
    <row r="750" customFormat="false" ht="15" hidden="false" customHeight="false" outlineLevel="0" collapsed="false">
      <c r="A750" s="8" t="n">
        <v>29</v>
      </c>
      <c r="B750" s="39" t="n">
        <f aca="false">EDATE(StartDate,A750-1)</f>
        <v>47239</v>
      </c>
      <c r="C750" s="24" t="str">
        <f aca="false">Monthly!$B$29</f>
        <v>EnergyWave, Inc.</v>
      </c>
      <c r="D750" s="24" t="str">
        <f aca="false">Monthly!$C$29</f>
        <v>Facilities</v>
      </c>
      <c r="E750" s="24" t="str">
        <f aca="false">Monthly!$D$29</f>
        <v>Deposit</v>
      </c>
      <c r="F750" s="24" t="str">
        <f aca="false">Monthly!$A$29</f>
        <v>Security deposit</v>
      </c>
      <c r="G750" s="20" t="n">
        <f aca="false">Monthly!AH$29</f>
        <v>0</v>
      </c>
      <c r="H750" s="24" t="str">
        <f aca="false">ScenarioName</f>
        <v>Base</v>
      </c>
    </row>
    <row r="751" customFormat="false" ht="15" hidden="false" customHeight="false" outlineLevel="0" collapsed="false">
      <c r="A751" s="8" t="n">
        <v>30</v>
      </c>
      <c r="B751" s="39" t="n">
        <f aca="false">EDATE(StartDate,A751-1)</f>
        <v>47270</v>
      </c>
      <c r="C751" s="24" t="str">
        <f aca="false">Monthly!$B$29</f>
        <v>EnergyWave, Inc.</v>
      </c>
      <c r="D751" s="24" t="str">
        <f aca="false">Monthly!$C$29</f>
        <v>Facilities</v>
      </c>
      <c r="E751" s="24" t="str">
        <f aca="false">Monthly!$D$29</f>
        <v>Deposit</v>
      </c>
      <c r="F751" s="24" t="str">
        <f aca="false">Monthly!$A$29</f>
        <v>Security deposit</v>
      </c>
      <c r="G751" s="20" t="n">
        <f aca="false">Monthly!AI$29</f>
        <v>0</v>
      </c>
      <c r="H751" s="24" t="str">
        <f aca="false">ScenarioName</f>
        <v>Base</v>
      </c>
    </row>
    <row r="752" customFormat="false" ht="15" hidden="false" customHeight="false" outlineLevel="0" collapsed="false">
      <c r="A752" s="8" t="n">
        <v>31</v>
      </c>
      <c r="B752" s="39" t="n">
        <f aca="false">EDATE(StartDate,A752-1)</f>
        <v>47300</v>
      </c>
      <c r="C752" s="24" t="str">
        <f aca="false">Monthly!$B$29</f>
        <v>EnergyWave, Inc.</v>
      </c>
      <c r="D752" s="24" t="str">
        <f aca="false">Monthly!$C$29</f>
        <v>Facilities</v>
      </c>
      <c r="E752" s="24" t="str">
        <f aca="false">Monthly!$D$29</f>
        <v>Deposit</v>
      </c>
      <c r="F752" s="24" t="str">
        <f aca="false">Monthly!$A$29</f>
        <v>Security deposit</v>
      </c>
      <c r="G752" s="20" t="n">
        <f aca="false">Monthly!AJ$29</f>
        <v>0</v>
      </c>
      <c r="H752" s="24" t="str">
        <f aca="false">ScenarioName</f>
        <v>Base</v>
      </c>
    </row>
    <row r="753" customFormat="false" ht="15" hidden="false" customHeight="false" outlineLevel="0" collapsed="false">
      <c r="A753" s="8" t="n">
        <v>32</v>
      </c>
      <c r="B753" s="39" t="n">
        <f aca="false">EDATE(StartDate,A753-1)</f>
        <v>47331</v>
      </c>
      <c r="C753" s="24" t="str">
        <f aca="false">Monthly!$B$29</f>
        <v>EnergyWave, Inc.</v>
      </c>
      <c r="D753" s="24" t="str">
        <f aca="false">Monthly!$C$29</f>
        <v>Facilities</v>
      </c>
      <c r="E753" s="24" t="str">
        <f aca="false">Monthly!$D$29</f>
        <v>Deposit</v>
      </c>
      <c r="F753" s="24" t="str">
        <f aca="false">Monthly!$A$29</f>
        <v>Security deposit</v>
      </c>
      <c r="G753" s="20" t="n">
        <f aca="false">Monthly!AK$29</f>
        <v>0</v>
      </c>
      <c r="H753" s="24" t="str">
        <f aca="false">ScenarioName</f>
        <v>Base</v>
      </c>
    </row>
    <row r="754" customFormat="false" ht="15" hidden="false" customHeight="false" outlineLevel="0" collapsed="false">
      <c r="A754" s="8" t="n">
        <v>33</v>
      </c>
      <c r="B754" s="39" t="n">
        <f aca="false">EDATE(StartDate,A754-1)</f>
        <v>47362</v>
      </c>
      <c r="C754" s="24" t="str">
        <f aca="false">Monthly!$B$29</f>
        <v>EnergyWave, Inc.</v>
      </c>
      <c r="D754" s="24" t="str">
        <f aca="false">Monthly!$C$29</f>
        <v>Facilities</v>
      </c>
      <c r="E754" s="24" t="str">
        <f aca="false">Monthly!$D$29</f>
        <v>Deposit</v>
      </c>
      <c r="F754" s="24" t="str">
        <f aca="false">Monthly!$A$29</f>
        <v>Security deposit</v>
      </c>
      <c r="G754" s="20" t="n">
        <f aca="false">Monthly!AL$29</f>
        <v>0</v>
      </c>
      <c r="H754" s="24" t="str">
        <f aca="false">ScenarioName</f>
        <v>Base</v>
      </c>
    </row>
    <row r="755" customFormat="false" ht="15" hidden="false" customHeight="false" outlineLevel="0" collapsed="false">
      <c r="A755" s="8" t="n">
        <v>34</v>
      </c>
      <c r="B755" s="39" t="n">
        <f aca="false">EDATE(StartDate,A755-1)</f>
        <v>47392</v>
      </c>
      <c r="C755" s="24" t="str">
        <f aca="false">Monthly!$B$29</f>
        <v>EnergyWave, Inc.</v>
      </c>
      <c r="D755" s="24" t="str">
        <f aca="false">Monthly!$C$29</f>
        <v>Facilities</v>
      </c>
      <c r="E755" s="24" t="str">
        <f aca="false">Monthly!$D$29</f>
        <v>Deposit</v>
      </c>
      <c r="F755" s="24" t="str">
        <f aca="false">Monthly!$A$29</f>
        <v>Security deposit</v>
      </c>
      <c r="G755" s="20" t="n">
        <f aca="false">Monthly!AM$29</f>
        <v>0</v>
      </c>
      <c r="H755" s="24" t="str">
        <f aca="false">ScenarioName</f>
        <v>Base</v>
      </c>
    </row>
    <row r="756" customFormat="false" ht="15" hidden="false" customHeight="false" outlineLevel="0" collapsed="false">
      <c r="A756" s="8" t="n">
        <v>35</v>
      </c>
      <c r="B756" s="39" t="n">
        <f aca="false">EDATE(StartDate,A756-1)</f>
        <v>47423</v>
      </c>
      <c r="C756" s="24" t="str">
        <f aca="false">Monthly!$B$29</f>
        <v>EnergyWave, Inc.</v>
      </c>
      <c r="D756" s="24" t="str">
        <f aca="false">Monthly!$C$29</f>
        <v>Facilities</v>
      </c>
      <c r="E756" s="24" t="str">
        <f aca="false">Monthly!$D$29</f>
        <v>Deposit</v>
      </c>
      <c r="F756" s="24" t="str">
        <f aca="false">Monthly!$A$29</f>
        <v>Security deposit</v>
      </c>
      <c r="G756" s="20" t="n">
        <f aca="false">Monthly!AN$29</f>
        <v>0</v>
      </c>
      <c r="H756" s="24" t="str">
        <f aca="false">ScenarioName</f>
        <v>Base</v>
      </c>
    </row>
    <row r="757" customFormat="false" ht="15" hidden="false" customHeight="false" outlineLevel="0" collapsed="false">
      <c r="A757" s="8" t="n">
        <v>36</v>
      </c>
      <c r="B757" s="39" t="n">
        <f aca="false">EDATE(StartDate,A757-1)</f>
        <v>47453</v>
      </c>
      <c r="C757" s="24" t="str">
        <f aca="false">Monthly!$B$29</f>
        <v>EnergyWave, Inc.</v>
      </c>
      <c r="D757" s="24" t="str">
        <f aca="false">Monthly!$C$29</f>
        <v>Facilities</v>
      </c>
      <c r="E757" s="24" t="str">
        <f aca="false">Monthly!$D$29</f>
        <v>Deposit</v>
      </c>
      <c r="F757" s="24" t="str">
        <f aca="false">Monthly!$A$29</f>
        <v>Security deposit</v>
      </c>
      <c r="G757" s="20" t="n">
        <f aca="false">Monthly!AO$29</f>
        <v>0</v>
      </c>
      <c r="H757" s="24" t="str">
        <f aca="false">ScenarioName</f>
        <v>Base</v>
      </c>
    </row>
    <row r="758" customFormat="false" ht="15" hidden="false" customHeight="false" outlineLevel="0" collapsed="false">
      <c r="A758" s="8" t="n">
        <v>1</v>
      </c>
      <c r="B758" s="39" t="n">
        <f aca="false">EDATE(StartDate,A758-1)</f>
        <v>46388</v>
      </c>
      <c r="C758" s="24" t="str">
        <f aca="false">Monthly!$B$30</f>
        <v>EnergyWave, Inc.</v>
      </c>
      <c r="D758" s="24" t="str">
        <f aca="false">Monthly!$C$30</f>
        <v>Facilities</v>
      </c>
      <c r="E758" s="24" t="str">
        <f aca="false">Monthly!$D$30</f>
        <v>Build-out</v>
      </c>
      <c r="F758" s="24" t="str">
        <f aca="false">Monthly!$A$30</f>
        <v>Lab build-out (power, ventilation, benches, shielding)</v>
      </c>
      <c r="G758" s="20" t="n">
        <f aca="false">Monthly!F$30</f>
        <v>0</v>
      </c>
      <c r="H758" s="24" t="str">
        <f aca="false">ScenarioName</f>
        <v>Base</v>
      </c>
    </row>
    <row r="759" customFormat="false" ht="15" hidden="false" customHeight="false" outlineLevel="0" collapsed="false">
      <c r="A759" s="8" t="n">
        <v>2</v>
      </c>
      <c r="B759" s="39" t="n">
        <f aca="false">EDATE(StartDate,A759-1)</f>
        <v>46419</v>
      </c>
      <c r="C759" s="24" t="str">
        <f aca="false">Monthly!$B$30</f>
        <v>EnergyWave, Inc.</v>
      </c>
      <c r="D759" s="24" t="str">
        <f aca="false">Monthly!$C$30</f>
        <v>Facilities</v>
      </c>
      <c r="E759" s="24" t="str">
        <f aca="false">Monthly!$D$30</f>
        <v>Build-out</v>
      </c>
      <c r="F759" s="24" t="str">
        <f aca="false">Monthly!$A$30</f>
        <v>Lab build-out (power, ventilation, benches, shielding)</v>
      </c>
      <c r="G759" s="20" t="n">
        <f aca="false">Monthly!G$30</f>
        <v>300000</v>
      </c>
      <c r="H759" s="24" t="str">
        <f aca="false">ScenarioName</f>
        <v>Base</v>
      </c>
    </row>
    <row r="760" customFormat="false" ht="15" hidden="false" customHeight="false" outlineLevel="0" collapsed="false">
      <c r="A760" s="8" t="n">
        <v>3</v>
      </c>
      <c r="B760" s="39" t="n">
        <f aca="false">EDATE(StartDate,A760-1)</f>
        <v>46447</v>
      </c>
      <c r="C760" s="24" t="str">
        <f aca="false">Monthly!$B$30</f>
        <v>EnergyWave, Inc.</v>
      </c>
      <c r="D760" s="24" t="str">
        <f aca="false">Monthly!$C$30</f>
        <v>Facilities</v>
      </c>
      <c r="E760" s="24" t="str">
        <f aca="false">Monthly!$D$30</f>
        <v>Build-out</v>
      </c>
      <c r="F760" s="24" t="str">
        <f aca="false">Monthly!$A$30</f>
        <v>Lab build-out (power, ventilation, benches, shielding)</v>
      </c>
      <c r="G760" s="20" t="n">
        <f aca="false">Monthly!H$30</f>
        <v>0</v>
      </c>
      <c r="H760" s="24" t="str">
        <f aca="false">ScenarioName</f>
        <v>Base</v>
      </c>
    </row>
    <row r="761" customFormat="false" ht="15" hidden="false" customHeight="false" outlineLevel="0" collapsed="false">
      <c r="A761" s="8" t="n">
        <v>4</v>
      </c>
      <c r="B761" s="39" t="n">
        <f aca="false">EDATE(StartDate,A761-1)</f>
        <v>46478</v>
      </c>
      <c r="C761" s="24" t="str">
        <f aca="false">Monthly!$B$30</f>
        <v>EnergyWave, Inc.</v>
      </c>
      <c r="D761" s="24" t="str">
        <f aca="false">Monthly!$C$30</f>
        <v>Facilities</v>
      </c>
      <c r="E761" s="24" t="str">
        <f aca="false">Monthly!$D$30</f>
        <v>Build-out</v>
      </c>
      <c r="F761" s="24" t="str">
        <f aca="false">Monthly!$A$30</f>
        <v>Lab build-out (power, ventilation, benches, shielding)</v>
      </c>
      <c r="G761" s="20" t="n">
        <f aca="false">Monthly!I$30</f>
        <v>0</v>
      </c>
      <c r="H761" s="24" t="str">
        <f aca="false">ScenarioName</f>
        <v>Base</v>
      </c>
    </row>
    <row r="762" customFormat="false" ht="15" hidden="false" customHeight="false" outlineLevel="0" collapsed="false">
      <c r="A762" s="8" t="n">
        <v>5</v>
      </c>
      <c r="B762" s="39" t="n">
        <f aca="false">EDATE(StartDate,A762-1)</f>
        <v>46508</v>
      </c>
      <c r="C762" s="24" t="str">
        <f aca="false">Monthly!$B$30</f>
        <v>EnergyWave, Inc.</v>
      </c>
      <c r="D762" s="24" t="str">
        <f aca="false">Monthly!$C$30</f>
        <v>Facilities</v>
      </c>
      <c r="E762" s="24" t="str">
        <f aca="false">Monthly!$D$30</f>
        <v>Build-out</v>
      </c>
      <c r="F762" s="24" t="str">
        <f aca="false">Monthly!$A$30</f>
        <v>Lab build-out (power, ventilation, benches, shielding)</v>
      </c>
      <c r="G762" s="20" t="n">
        <f aca="false">Monthly!J$30</f>
        <v>0</v>
      </c>
      <c r="H762" s="24" t="str">
        <f aca="false">ScenarioName</f>
        <v>Base</v>
      </c>
    </row>
    <row r="763" customFormat="false" ht="15" hidden="false" customHeight="false" outlineLevel="0" collapsed="false">
      <c r="A763" s="8" t="n">
        <v>6</v>
      </c>
      <c r="B763" s="39" t="n">
        <f aca="false">EDATE(StartDate,A763-1)</f>
        <v>46539</v>
      </c>
      <c r="C763" s="24" t="str">
        <f aca="false">Monthly!$B$30</f>
        <v>EnergyWave, Inc.</v>
      </c>
      <c r="D763" s="24" t="str">
        <f aca="false">Monthly!$C$30</f>
        <v>Facilities</v>
      </c>
      <c r="E763" s="24" t="str">
        <f aca="false">Monthly!$D$30</f>
        <v>Build-out</v>
      </c>
      <c r="F763" s="24" t="str">
        <f aca="false">Monthly!$A$30</f>
        <v>Lab build-out (power, ventilation, benches, shielding)</v>
      </c>
      <c r="G763" s="20" t="n">
        <f aca="false">Monthly!K$30</f>
        <v>0</v>
      </c>
      <c r="H763" s="24" t="str">
        <f aca="false">ScenarioName</f>
        <v>Base</v>
      </c>
    </row>
    <row r="764" customFormat="false" ht="15" hidden="false" customHeight="false" outlineLevel="0" collapsed="false">
      <c r="A764" s="8" t="n">
        <v>7</v>
      </c>
      <c r="B764" s="39" t="n">
        <f aca="false">EDATE(StartDate,A764-1)</f>
        <v>46569</v>
      </c>
      <c r="C764" s="24" t="str">
        <f aca="false">Monthly!$B$30</f>
        <v>EnergyWave, Inc.</v>
      </c>
      <c r="D764" s="24" t="str">
        <f aca="false">Monthly!$C$30</f>
        <v>Facilities</v>
      </c>
      <c r="E764" s="24" t="str">
        <f aca="false">Monthly!$D$30</f>
        <v>Build-out</v>
      </c>
      <c r="F764" s="24" t="str">
        <f aca="false">Monthly!$A$30</f>
        <v>Lab build-out (power, ventilation, benches, shielding)</v>
      </c>
      <c r="G764" s="20" t="n">
        <f aca="false">Monthly!L$30</f>
        <v>0</v>
      </c>
      <c r="H764" s="24" t="str">
        <f aca="false">ScenarioName</f>
        <v>Base</v>
      </c>
    </row>
    <row r="765" customFormat="false" ht="15" hidden="false" customHeight="false" outlineLevel="0" collapsed="false">
      <c r="A765" s="8" t="n">
        <v>8</v>
      </c>
      <c r="B765" s="39" t="n">
        <f aca="false">EDATE(StartDate,A765-1)</f>
        <v>46600</v>
      </c>
      <c r="C765" s="24" t="str">
        <f aca="false">Monthly!$B$30</f>
        <v>EnergyWave, Inc.</v>
      </c>
      <c r="D765" s="24" t="str">
        <f aca="false">Monthly!$C$30</f>
        <v>Facilities</v>
      </c>
      <c r="E765" s="24" t="str">
        <f aca="false">Monthly!$D$30</f>
        <v>Build-out</v>
      </c>
      <c r="F765" s="24" t="str">
        <f aca="false">Monthly!$A$30</f>
        <v>Lab build-out (power, ventilation, benches, shielding)</v>
      </c>
      <c r="G765" s="20" t="n">
        <f aca="false">Monthly!M$30</f>
        <v>0</v>
      </c>
      <c r="H765" s="24" t="str">
        <f aca="false">ScenarioName</f>
        <v>Base</v>
      </c>
    </row>
    <row r="766" customFormat="false" ht="15" hidden="false" customHeight="false" outlineLevel="0" collapsed="false">
      <c r="A766" s="8" t="n">
        <v>9</v>
      </c>
      <c r="B766" s="39" t="n">
        <f aca="false">EDATE(StartDate,A766-1)</f>
        <v>46631</v>
      </c>
      <c r="C766" s="24" t="str">
        <f aca="false">Monthly!$B$30</f>
        <v>EnergyWave, Inc.</v>
      </c>
      <c r="D766" s="24" t="str">
        <f aca="false">Monthly!$C$30</f>
        <v>Facilities</v>
      </c>
      <c r="E766" s="24" t="str">
        <f aca="false">Monthly!$D$30</f>
        <v>Build-out</v>
      </c>
      <c r="F766" s="24" t="str">
        <f aca="false">Monthly!$A$30</f>
        <v>Lab build-out (power, ventilation, benches, shielding)</v>
      </c>
      <c r="G766" s="20" t="n">
        <f aca="false">Monthly!N$30</f>
        <v>0</v>
      </c>
      <c r="H766" s="24" t="str">
        <f aca="false">ScenarioName</f>
        <v>Base</v>
      </c>
    </row>
    <row r="767" customFormat="false" ht="15" hidden="false" customHeight="false" outlineLevel="0" collapsed="false">
      <c r="A767" s="8" t="n">
        <v>10</v>
      </c>
      <c r="B767" s="39" t="n">
        <f aca="false">EDATE(StartDate,A767-1)</f>
        <v>46661</v>
      </c>
      <c r="C767" s="24" t="str">
        <f aca="false">Monthly!$B$30</f>
        <v>EnergyWave, Inc.</v>
      </c>
      <c r="D767" s="24" t="str">
        <f aca="false">Monthly!$C$30</f>
        <v>Facilities</v>
      </c>
      <c r="E767" s="24" t="str">
        <f aca="false">Monthly!$D$30</f>
        <v>Build-out</v>
      </c>
      <c r="F767" s="24" t="str">
        <f aca="false">Monthly!$A$30</f>
        <v>Lab build-out (power, ventilation, benches, shielding)</v>
      </c>
      <c r="G767" s="20" t="n">
        <f aca="false">Monthly!O$30</f>
        <v>0</v>
      </c>
      <c r="H767" s="24" t="str">
        <f aca="false">ScenarioName</f>
        <v>Base</v>
      </c>
    </row>
    <row r="768" customFormat="false" ht="15" hidden="false" customHeight="false" outlineLevel="0" collapsed="false">
      <c r="A768" s="8" t="n">
        <v>11</v>
      </c>
      <c r="B768" s="39" t="n">
        <f aca="false">EDATE(StartDate,A768-1)</f>
        <v>46692</v>
      </c>
      <c r="C768" s="24" t="str">
        <f aca="false">Monthly!$B$30</f>
        <v>EnergyWave, Inc.</v>
      </c>
      <c r="D768" s="24" t="str">
        <f aca="false">Monthly!$C$30</f>
        <v>Facilities</v>
      </c>
      <c r="E768" s="24" t="str">
        <f aca="false">Monthly!$D$30</f>
        <v>Build-out</v>
      </c>
      <c r="F768" s="24" t="str">
        <f aca="false">Monthly!$A$30</f>
        <v>Lab build-out (power, ventilation, benches, shielding)</v>
      </c>
      <c r="G768" s="20" t="n">
        <f aca="false">Monthly!P$30</f>
        <v>0</v>
      </c>
      <c r="H768" s="24" t="str">
        <f aca="false">ScenarioName</f>
        <v>Base</v>
      </c>
    </row>
    <row r="769" customFormat="false" ht="15" hidden="false" customHeight="false" outlineLevel="0" collapsed="false">
      <c r="A769" s="8" t="n">
        <v>12</v>
      </c>
      <c r="B769" s="39" t="n">
        <f aca="false">EDATE(StartDate,A769-1)</f>
        <v>46722</v>
      </c>
      <c r="C769" s="24" t="str">
        <f aca="false">Monthly!$B$30</f>
        <v>EnergyWave, Inc.</v>
      </c>
      <c r="D769" s="24" t="str">
        <f aca="false">Monthly!$C$30</f>
        <v>Facilities</v>
      </c>
      <c r="E769" s="24" t="str">
        <f aca="false">Monthly!$D$30</f>
        <v>Build-out</v>
      </c>
      <c r="F769" s="24" t="str">
        <f aca="false">Monthly!$A$30</f>
        <v>Lab build-out (power, ventilation, benches, shielding)</v>
      </c>
      <c r="G769" s="20" t="n">
        <f aca="false">Monthly!Q$30</f>
        <v>0</v>
      </c>
      <c r="H769" s="24" t="str">
        <f aca="false">ScenarioName</f>
        <v>Base</v>
      </c>
    </row>
    <row r="770" customFormat="false" ht="15" hidden="false" customHeight="false" outlineLevel="0" collapsed="false">
      <c r="A770" s="8" t="n">
        <v>13</v>
      </c>
      <c r="B770" s="39" t="n">
        <f aca="false">EDATE(StartDate,A770-1)</f>
        <v>46753</v>
      </c>
      <c r="C770" s="24" t="str">
        <f aca="false">Monthly!$B$30</f>
        <v>EnergyWave, Inc.</v>
      </c>
      <c r="D770" s="24" t="str">
        <f aca="false">Monthly!$C$30</f>
        <v>Facilities</v>
      </c>
      <c r="E770" s="24" t="str">
        <f aca="false">Monthly!$D$30</f>
        <v>Build-out</v>
      </c>
      <c r="F770" s="24" t="str">
        <f aca="false">Monthly!$A$30</f>
        <v>Lab build-out (power, ventilation, benches, shielding)</v>
      </c>
      <c r="G770" s="20" t="n">
        <f aca="false">Monthly!R$30</f>
        <v>0</v>
      </c>
      <c r="H770" s="24" t="str">
        <f aca="false">ScenarioName</f>
        <v>Base</v>
      </c>
    </row>
    <row r="771" customFormat="false" ht="15" hidden="false" customHeight="false" outlineLevel="0" collapsed="false">
      <c r="A771" s="8" t="n">
        <v>14</v>
      </c>
      <c r="B771" s="39" t="n">
        <f aca="false">EDATE(StartDate,A771-1)</f>
        <v>46784</v>
      </c>
      <c r="C771" s="24" t="str">
        <f aca="false">Monthly!$B$30</f>
        <v>EnergyWave, Inc.</v>
      </c>
      <c r="D771" s="24" t="str">
        <f aca="false">Monthly!$C$30</f>
        <v>Facilities</v>
      </c>
      <c r="E771" s="24" t="str">
        <f aca="false">Monthly!$D$30</f>
        <v>Build-out</v>
      </c>
      <c r="F771" s="24" t="str">
        <f aca="false">Monthly!$A$30</f>
        <v>Lab build-out (power, ventilation, benches, shielding)</v>
      </c>
      <c r="G771" s="20" t="n">
        <f aca="false">Monthly!S$30</f>
        <v>0</v>
      </c>
      <c r="H771" s="24" t="str">
        <f aca="false">ScenarioName</f>
        <v>Base</v>
      </c>
    </row>
    <row r="772" customFormat="false" ht="15" hidden="false" customHeight="false" outlineLevel="0" collapsed="false">
      <c r="A772" s="8" t="n">
        <v>15</v>
      </c>
      <c r="B772" s="39" t="n">
        <f aca="false">EDATE(StartDate,A772-1)</f>
        <v>46813</v>
      </c>
      <c r="C772" s="24" t="str">
        <f aca="false">Monthly!$B$30</f>
        <v>EnergyWave, Inc.</v>
      </c>
      <c r="D772" s="24" t="str">
        <f aca="false">Monthly!$C$30</f>
        <v>Facilities</v>
      </c>
      <c r="E772" s="24" t="str">
        <f aca="false">Monthly!$D$30</f>
        <v>Build-out</v>
      </c>
      <c r="F772" s="24" t="str">
        <f aca="false">Monthly!$A$30</f>
        <v>Lab build-out (power, ventilation, benches, shielding)</v>
      </c>
      <c r="G772" s="20" t="n">
        <f aca="false">Monthly!T$30</f>
        <v>0</v>
      </c>
      <c r="H772" s="24" t="str">
        <f aca="false">ScenarioName</f>
        <v>Base</v>
      </c>
    </row>
    <row r="773" customFormat="false" ht="15" hidden="false" customHeight="false" outlineLevel="0" collapsed="false">
      <c r="A773" s="8" t="n">
        <v>16</v>
      </c>
      <c r="B773" s="39" t="n">
        <f aca="false">EDATE(StartDate,A773-1)</f>
        <v>46844</v>
      </c>
      <c r="C773" s="24" t="str">
        <f aca="false">Monthly!$B$30</f>
        <v>EnergyWave, Inc.</v>
      </c>
      <c r="D773" s="24" t="str">
        <f aca="false">Monthly!$C$30</f>
        <v>Facilities</v>
      </c>
      <c r="E773" s="24" t="str">
        <f aca="false">Monthly!$D$30</f>
        <v>Build-out</v>
      </c>
      <c r="F773" s="24" t="str">
        <f aca="false">Monthly!$A$30</f>
        <v>Lab build-out (power, ventilation, benches, shielding)</v>
      </c>
      <c r="G773" s="20" t="n">
        <f aca="false">Monthly!U$30</f>
        <v>0</v>
      </c>
      <c r="H773" s="24" t="str">
        <f aca="false">ScenarioName</f>
        <v>Base</v>
      </c>
    </row>
    <row r="774" customFormat="false" ht="15" hidden="false" customHeight="false" outlineLevel="0" collapsed="false">
      <c r="A774" s="8" t="n">
        <v>17</v>
      </c>
      <c r="B774" s="39" t="n">
        <f aca="false">EDATE(StartDate,A774-1)</f>
        <v>46874</v>
      </c>
      <c r="C774" s="24" t="str">
        <f aca="false">Monthly!$B$30</f>
        <v>EnergyWave, Inc.</v>
      </c>
      <c r="D774" s="24" t="str">
        <f aca="false">Monthly!$C$30</f>
        <v>Facilities</v>
      </c>
      <c r="E774" s="24" t="str">
        <f aca="false">Monthly!$D$30</f>
        <v>Build-out</v>
      </c>
      <c r="F774" s="24" t="str">
        <f aca="false">Monthly!$A$30</f>
        <v>Lab build-out (power, ventilation, benches, shielding)</v>
      </c>
      <c r="G774" s="20" t="n">
        <f aca="false">Monthly!V$30</f>
        <v>0</v>
      </c>
      <c r="H774" s="24" t="str">
        <f aca="false">ScenarioName</f>
        <v>Base</v>
      </c>
    </row>
    <row r="775" customFormat="false" ht="15" hidden="false" customHeight="false" outlineLevel="0" collapsed="false">
      <c r="A775" s="8" t="n">
        <v>18</v>
      </c>
      <c r="B775" s="39" t="n">
        <f aca="false">EDATE(StartDate,A775-1)</f>
        <v>46905</v>
      </c>
      <c r="C775" s="24" t="str">
        <f aca="false">Monthly!$B$30</f>
        <v>EnergyWave, Inc.</v>
      </c>
      <c r="D775" s="24" t="str">
        <f aca="false">Monthly!$C$30</f>
        <v>Facilities</v>
      </c>
      <c r="E775" s="24" t="str">
        <f aca="false">Monthly!$D$30</f>
        <v>Build-out</v>
      </c>
      <c r="F775" s="24" t="str">
        <f aca="false">Monthly!$A$30</f>
        <v>Lab build-out (power, ventilation, benches, shielding)</v>
      </c>
      <c r="G775" s="20" t="n">
        <f aca="false">Monthly!W$30</f>
        <v>0</v>
      </c>
      <c r="H775" s="24" t="str">
        <f aca="false">ScenarioName</f>
        <v>Base</v>
      </c>
    </row>
    <row r="776" customFormat="false" ht="15" hidden="false" customHeight="false" outlineLevel="0" collapsed="false">
      <c r="A776" s="8" t="n">
        <v>19</v>
      </c>
      <c r="B776" s="39" t="n">
        <f aca="false">EDATE(StartDate,A776-1)</f>
        <v>46935</v>
      </c>
      <c r="C776" s="24" t="str">
        <f aca="false">Monthly!$B$30</f>
        <v>EnergyWave, Inc.</v>
      </c>
      <c r="D776" s="24" t="str">
        <f aca="false">Monthly!$C$30</f>
        <v>Facilities</v>
      </c>
      <c r="E776" s="24" t="str">
        <f aca="false">Monthly!$D$30</f>
        <v>Build-out</v>
      </c>
      <c r="F776" s="24" t="str">
        <f aca="false">Monthly!$A$30</f>
        <v>Lab build-out (power, ventilation, benches, shielding)</v>
      </c>
      <c r="G776" s="20" t="n">
        <f aca="false">Monthly!X$30</f>
        <v>0</v>
      </c>
      <c r="H776" s="24" t="str">
        <f aca="false">ScenarioName</f>
        <v>Base</v>
      </c>
    </row>
    <row r="777" customFormat="false" ht="15" hidden="false" customHeight="false" outlineLevel="0" collapsed="false">
      <c r="A777" s="8" t="n">
        <v>20</v>
      </c>
      <c r="B777" s="39" t="n">
        <f aca="false">EDATE(StartDate,A777-1)</f>
        <v>46966</v>
      </c>
      <c r="C777" s="24" t="str">
        <f aca="false">Monthly!$B$30</f>
        <v>EnergyWave, Inc.</v>
      </c>
      <c r="D777" s="24" t="str">
        <f aca="false">Monthly!$C$30</f>
        <v>Facilities</v>
      </c>
      <c r="E777" s="24" t="str">
        <f aca="false">Monthly!$D$30</f>
        <v>Build-out</v>
      </c>
      <c r="F777" s="24" t="str">
        <f aca="false">Monthly!$A$30</f>
        <v>Lab build-out (power, ventilation, benches, shielding)</v>
      </c>
      <c r="G777" s="20" t="n">
        <f aca="false">Monthly!Y$30</f>
        <v>0</v>
      </c>
      <c r="H777" s="24" t="str">
        <f aca="false">ScenarioName</f>
        <v>Base</v>
      </c>
    </row>
    <row r="778" customFormat="false" ht="15" hidden="false" customHeight="false" outlineLevel="0" collapsed="false">
      <c r="A778" s="8" t="n">
        <v>21</v>
      </c>
      <c r="B778" s="39" t="n">
        <f aca="false">EDATE(StartDate,A778-1)</f>
        <v>46997</v>
      </c>
      <c r="C778" s="24" t="str">
        <f aca="false">Monthly!$B$30</f>
        <v>EnergyWave, Inc.</v>
      </c>
      <c r="D778" s="24" t="str">
        <f aca="false">Monthly!$C$30</f>
        <v>Facilities</v>
      </c>
      <c r="E778" s="24" t="str">
        <f aca="false">Monthly!$D$30</f>
        <v>Build-out</v>
      </c>
      <c r="F778" s="24" t="str">
        <f aca="false">Monthly!$A$30</f>
        <v>Lab build-out (power, ventilation, benches, shielding)</v>
      </c>
      <c r="G778" s="20" t="n">
        <f aca="false">Monthly!Z$30</f>
        <v>0</v>
      </c>
      <c r="H778" s="24" t="str">
        <f aca="false">ScenarioName</f>
        <v>Base</v>
      </c>
    </row>
    <row r="779" customFormat="false" ht="15" hidden="false" customHeight="false" outlineLevel="0" collapsed="false">
      <c r="A779" s="8" t="n">
        <v>22</v>
      </c>
      <c r="B779" s="39" t="n">
        <f aca="false">EDATE(StartDate,A779-1)</f>
        <v>47027</v>
      </c>
      <c r="C779" s="24" t="str">
        <f aca="false">Monthly!$B$30</f>
        <v>EnergyWave, Inc.</v>
      </c>
      <c r="D779" s="24" t="str">
        <f aca="false">Monthly!$C$30</f>
        <v>Facilities</v>
      </c>
      <c r="E779" s="24" t="str">
        <f aca="false">Monthly!$D$30</f>
        <v>Build-out</v>
      </c>
      <c r="F779" s="24" t="str">
        <f aca="false">Monthly!$A$30</f>
        <v>Lab build-out (power, ventilation, benches, shielding)</v>
      </c>
      <c r="G779" s="20" t="n">
        <f aca="false">Monthly!AA$30</f>
        <v>0</v>
      </c>
      <c r="H779" s="24" t="str">
        <f aca="false">ScenarioName</f>
        <v>Base</v>
      </c>
    </row>
    <row r="780" customFormat="false" ht="15" hidden="false" customHeight="false" outlineLevel="0" collapsed="false">
      <c r="A780" s="8" t="n">
        <v>23</v>
      </c>
      <c r="B780" s="39" t="n">
        <f aca="false">EDATE(StartDate,A780-1)</f>
        <v>47058</v>
      </c>
      <c r="C780" s="24" t="str">
        <f aca="false">Monthly!$B$30</f>
        <v>EnergyWave, Inc.</v>
      </c>
      <c r="D780" s="24" t="str">
        <f aca="false">Monthly!$C$30</f>
        <v>Facilities</v>
      </c>
      <c r="E780" s="24" t="str">
        <f aca="false">Monthly!$D$30</f>
        <v>Build-out</v>
      </c>
      <c r="F780" s="24" t="str">
        <f aca="false">Monthly!$A$30</f>
        <v>Lab build-out (power, ventilation, benches, shielding)</v>
      </c>
      <c r="G780" s="20" t="n">
        <f aca="false">Monthly!AB$30</f>
        <v>0</v>
      </c>
      <c r="H780" s="24" t="str">
        <f aca="false">ScenarioName</f>
        <v>Base</v>
      </c>
    </row>
    <row r="781" customFormat="false" ht="15" hidden="false" customHeight="false" outlineLevel="0" collapsed="false">
      <c r="A781" s="8" t="n">
        <v>24</v>
      </c>
      <c r="B781" s="39" t="n">
        <f aca="false">EDATE(StartDate,A781-1)</f>
        <v>47088</v>
      </c>
      <c r="C781" s="24" t="str">
        <f aca="false">Monthly!$B$30</f>
        <v>EnergyWave, Inc.</v>
      </c>
      <c r="D781" s="24" t="str">
        <f aca="false">Monthly!$C$30</f>
        <v>Facilities</v>
      </c>
      <c r="E781" s="24" t="str">
        <f aca="false">Monthly!$D$30</f>
        <v>Build-out</v>
      </c>
      <c r="F781" s="24" t="str">
        <f aca="false">Monthly!$A$30</f>
        <v>Lab build-out (power, ventilation, benches, shielding)</v>
      </c>
      <c r="G781" s="20" t="n">
        <f aca="false">Monthly!AC$30</f>
        <v>0</v>
      </c>
      <c r="H781" s="24" t="str">
        <f aca="false">ScenarioName</f>
        <v>Base</v>
      </c>
    </row>
    <row r="782" customFormat="false" ht="15" hidden="false" customHeight="false" outlineLevel="0" collapsed="false">
      <c r="A782" s="8" t="n">
        <v>25</v>
      </c>
      <c r="B782" s="39" t="n">
        <f aca="false">EDATE(StartDate,A782-1)</f>
        <v>47119</v>
      </c>
      <c r="C782" s="24" t="str">
        <f aca="false">Monthly!$B$30</f>
        <v>EnergyWave, Inc.</v>
      </c>
      <c r="D782" s="24" t="str">
        <f aca="false">Monthly!$C$30</f>
        <v>Facilities</v>
      </c>
      <c r="E782" s="24" t="str">
        <f aca="false">Monthly!$D$30</f>
        <v>Build-out</v>
      </c>
      <c r="F782" s="24" t="str">
        <f aca="false">Monthly!$A$30</f>
        <v>Lab build-out (power, ventilation, benches, shielding)</v>
      </c>
      <c r="G782" s="20" t="n">
        <f aca="false">Monthly!AD$30</f>
        <v>0</v>
      </c>
      <c r="H782" s="24" t="str">
        <f aca="false">ScenarioName</f>
        <v>Base</v>
      </c>
    </row>
    <row r="783" customFormat="false" ht="15" hidden="false" customHeight="false" outlineLevel="0" collapsed="false">
      <c r="A783" s="8" t="n">
        <v>26</v>
      </c>
      <c r="B783" s="39" t="n">
        <f aca="false">EDATE(StartDate,A783-1)</f>
        <v>47150</v>
      </c>
      <c r="C783" s="24" t="str">
        <f aca="false">Monthly!$B$30</f>
        <v>EnergyWave, Inc.</v>
      </c>
      <c r="D783" s="24" t="str">
        <f aca="false">Monthly!$C$30</f>
        <v>Facilities</v>
      </c>
      <c r="E783" s="24" t="str">
        <f aca="false">Monthly!$D$30</f>
        <v>Build-out</v>
      </c>
      <c r="F783" s="24" t="str">
        <f aca="false">Monthly!$A$30</f>
        <v>Lab build-out (power, ventilation, benches, shielding)</v>
      </c>
      <c r="G783" s="20" t="n">
        <f aca="false">Monthly!AE$30</f>
        <v>0</v>
      </c>
      <c r="H783" s="24" t="str">
        <f aca="false">ScenarioName</f>
        <v>Base</v>
      </c>
    </row>
    <row r="784" customFormat="false" ht="15" hidden="false" customHeight="false" outlineLevel="0" collapsed="false">
      <c r="A784" s="8" t="n">
        <v>27</v>
      </c>
      <c r="B784" s="39" t="n">
        <f aca="false">EDATE(StartDate,A784-1)</f>
        <v>47178</v>
      </c>
      <c r="C784" s="24" t="str">
        <f aca="false">Monthly!$B$30</f>
        <v>EnergyWave, Inc.</v>
      </c>
      <c r="D784" s="24" t="str">
        <f aca="false">Monthly!$C$30</f>
        <v>Facilities</v>
      </c>
      <c r="E784" s="24" t="str">
        <f aca="false">Monthly!$D$30</f>
        <v>Build-out</v>
      </c>
      <c r="F784" s="24" t="str">
        <f aca="false">Monthly!$A$30</f>
        <v>Lab build-out (power, ventilation, benches, shielding)</v>
      </c>
      <c r="G784" s="20" t="n">
        <f aca="false">Monthly!AF$30</f>
        <v>0</v>
      </c>
      <c r="H784" s="24" t="str">
        <f aca="false">ScenarioName</f>
        <v>Base</v>
      </c>
    </row>
    <row r="785" customFormat="false" ht="15" hidden="false" customHeight="false" outlineLevel="0" collapsed="false">
      <c r="A785" s="8" t="n">
        <v>28</v>
      </c>
      <c r="B785" s="39" t="n">
        <f aca="false">EDATE(StartDate,A785-1)</f>
        <v>47209</v>
      </c>
      <c r="C785" s="24" t="str">
        <f aca="false">Monthly!$B$30</f>
        <v>EnergyWave, Inc.</v>
      </c>
      <c r="D785" s="24" t="str">
        <f aca="false">Monthly!$C$30</f>
        <v>Facilities</v>
      </c>
      <c r="E785" s="24" t="str">
        <f aca="false">Monthly!$D$30</f>
        <v>Build-out</v>
      </c>
      <c r="F785" s="24" t="str">
        <f aca="false">Monthly!$A$30</f>
        <v>Lab build-out (power, ventilation, benches, shielding)</v>
      </c>
      <c r="G785" s="20" t="n">
        <f aca="false">Monthly!AG$30</f>
        <v>0</v>
      </c>
      <c r="H785" s="24" t="str">
        <f aca="false">ScenarioName</f>
        <v>Base</v>
      </c>
    </row>
    <row r="786" customFormat="false" ht="15" hidden="false" customHeight="false" outlineLevel="0" collapsed="false">
      <c r="A786" s="8" t="n">
        <v>29</v>
      </c>
      <c r="B786" s="39" t="n">
        <f aca="false">EDATE(StartDate,A786-1)</f>
        <v>47239</v>
      </c>
      <c r="C786" s="24" t="str">
        <f aca="false">Monthly!$B$30</f>
        <v>EnergyWave, Inc.</v>
      </c>
      <c r="D786" s="24" t="str">
        <f aca="false">Monthly!$C$30</f>
        <v>Facilities</v>
      </c>
      <c r="E786" s="24" t="str">
        <f aca="false">Monthly!$D$30</f>
        <v>Build-out</v>
      </c>
      <c r="F786" s="24" t="str">
        <f aca="false">Monthly!$A$30</f>
        <v>Lab build-out (power, ventilation, benches, shielding)</v>
      </c>
      <c r="G786" s="20" t="n">
        <f aca="false">Monthly!AH$30</f>
        <v>0</v>
      </c>
      <c r="H786" s="24" t="str">
        <f aca="false">ScenarioName</f>
        <v>Base</v>
      </c>
    </row>
    <row r="787" customFormat="false" ht="15" hidden="false" customHeight="false" outlineLevel="0" collapsed="false">
      <c r="A787" s="8" t="n">
        <v>30</v>
      </c>
      <c r="B787" s="39" t="n">
        <f aca="false">EDATE(StartDate,A787-1)</f>
        <v>47270</v>
      </c>
      <c r="C787" s="24" t="str">
        <f aca="false">Monthly!$B$30</f>
        <v>EnergyWave, Inc.</v>
      </c>
      <c r="D787" s="24" t="str">
        <f aca="false">Monthly!$C$30</f>
        <v>Facilities</v>
      </c>
      <c r="E787" s="24" t="str">
        <f aca="false">Monthly!$D$30</f>
        <v>Build-out</v>
      </c>
      <c r="F787" s="24" t="str">
        <f aca="false">Monthly!$A$30</f>
        <v>Lab build-out (power, ventilation, benches, shielding)</v>
      </c>
      <c r="G787" s="20" t="n">
        <f aca="false">Monthly!AI$30</f>
        <v>0</v>
      </c>
      <c r="H787" s="24" t="str">
        <f aca="false">ScenarioName</f>
        <v>Base</v>
      </c>
    </row>
    <row r="788" customFormat="false" ht="15" hidden="false" customHeight="false" outlineLevel="0" collapsed="false">
      <c r="A788" s="8" t="n">
        <v>31</v>
      </c>
      <c r="B788" s="39" t="n">
        <f aca="false">EDATE(StartDate,A788-1)</f>
        <v>47300</v>
      </c>
      <c r="C788" s="24" t="str">
        <f aca="false">Monthly!$B$30</f>
        <v>EnergyWave, Inc.</v>
      </c>
      <c r="D788" s="24" t="str">
        <f aca="false">Monthly!$C$30</f>
        <v>Facilities</v>
      </c>
      <c r="E788" s="24" t="str">
        <f aca="false">Monthly!$D$30</f>
        <v>Build-out</v>
      </c>
      <c r="F788" s="24" t="str">
        <f aca="false">Monthly!$A$30</f>
        <v>Lab build-out (power, ventilation, benches, shielding)</v>
      </c>
      <c r="G788" s="20" t="n">
        <f aca="false">Monthly!AJ$30</f>
        <v>0</v>
      </c>
      <c r="H788" s="24" t="str">
        <f aca="false">ScenarioName</f>
        <v>Base</v>
      </c>
    </row>
    <row r="789" customFormat="false" ht="15" hidden="false" customHeight="false" outlineLevel="0" collapsed="false">
      <c r="A789" s="8" t="n">
        <v>32</v>
      </c>
      <c r="B789" s="39" t="n">
        <f aca="false">EDATE(StartDate,A789-1)</f>
        <v>47331</v>
      </c>
      <c r="C789" s="24" t="str">
        <f aca="false">Monthly!$B$30</f>
        <v>EnergyWave, Inc.</v>
      </c>
      <c r="D789" s="24" t="str">
        <f aca="false">Monthly!$C$30</f>
        <v>Facilities</v>
      </c>
      <c r="E789" s="24" t="str">
        <f aca="false">Monthly!$D$30</f>
        <v>Build-out</v>
      </c>
      <c r="F789" s="24" t="str">
        <f aca="false">Monthly!$A$30</f>
        <v>Lab build-out (power, ventilation, benches, shielding)</v>
      </c>
      <c r="G789" s="20" t="n">
        <f aca="false">Monthly!AK$30</f>
        <v>0</v>
      </c>
      <c r="H789" s="24" t="str">
        <f aca="false">ScenarioName</f>
        <v>Base</v>
      </c>
    </row>
    <row r="790" customFormat="false" ht="15" hidden="false" customHeight="false" outlineLevel="0" collapsed="false">
      <c r="A790" s="8" t="n">
        <v>33</v>
      </c>
      <c r="B790" s="39" t="n">
        <f aca="false">EDATE(StartDate,A790-1)</f>
        <v>47362</v>
      </c>
      <c r="C790" s="24" t="str">
        <f aca="false">Monthly!$B$30</f>
        <v>EnergyWave, Inc.</v>
      </c>
      <c r="D790" s="24" t="str">
        <f aca="false">Monthly!$C$30</f>
        <v>Facilities</v>
      </c>
      <c r="E790" s="24" t="str">
        <f aca="false">Monthly!$D$30</f>
        <v>Build-out</v>
      </c>
      <c r="F790" s="24" t="str">
        <f aca="false">Monthly!$A$30</f>
        <v>Lab build-out (power, ventilation, benches, shielding)</v>
      </c>
      <c r="G790" s="20" t="n">
        <f aca="false">Monthly!AL$30</f>
        <v>0</v>
      </c>
      <c r="H790" s="24" t="str">
        <f aca="false">ScenarioName</f>
        <v>Base</v>
      </c>
    </row>
    <row r="791" customFormat="false" ht="15" hidden="false" customHeight="false" outlineLevel="0" collapsed="false">
      <c r="A791" s="8" t="n">
        <v>34</v>
      </c>
      <c r="B791" s="39" t="n">
        <f aca="false">EDATE(StartDate,A791-1)</f>
        <v>47392</v>
      </c>
      <c r="C791" s="24" t="str">
        <f aca="false">Monthly!$B$30</f>
        <v>EnergyWave, Inc.</v>
      </c>
      <c r="D791" s="24" t="str">
        <f aca="false">Monthly!$C$30</f>
        <v>Facilities</v>
      </c>
      <c r="E791" s="24" t="str">
        <f aca="false">Monthly!$D$30</f>
        <v>Build-out</v>
      </c>
      <c r="F791" s="24" t="str">
        <f aca="false">Monthly!$A$30</f>
        <v>Lab build-out (power, ventilation, benches, shielding)</v>
      </c>
      <c r="G791" s="20" t="n">
        <f aca="false">Monthly!AM$30</f>
        <v>0</v>
      </c>
      <c r="H791" s="24" t="str">
        <f aca="false">ScenarioName</f>
        <v>Base</v>
      </c>
    </row>
    <row r="792" customFormat="false" ht="15" hidden="false" customHeight="false" outlineLevel="0" collapsed="false">
      <c r="A792" s="8" t="n">
        <v>35</v>
      </c>
      <c r="B792" s="39" t="n">
        <f aca="false">EDATE(StartDate,A792-1)</f>
        <v>47423</v>
      </c>
      <c r="C792" s="24" t="str">
        <f aca="false">Monthly!$B$30</f>
        <v>EnergyWave, Inc.</v>
      </c>
      <c r="D792" s="24" t="str">
        <f aca="false">Monthly!$C$30</f>
        <v>Facilities</v>
      </c>
      <c r="E792" s="24" t="str">
        <f aca="false">Monthly!$D$30</f>
        <v>Build-out</v>
      </c>
      <c r="F792" s="24" t="str">
        <f aca="false">Monthly!$A$30</f>
        <v>Lab build-out (power, ventilation, benches, shielding)</v>
      </c>
      <c r="G792" s="20" t="n">
        <f aca="false">Monthly!AN$30</f>
        <v>0</v>
      </c>
      <c r="H792" s="24" t="str">
        <f aca="false">ScenarioName</f>
        <v>Base</v>
      </c>
    </row>
    <row r="793" customFormat="false" ht="15" hidden="false" customHeight="false" outlineLevel="0" collapsed="false">
      <c r="A793" s="8" t="n">
        <v>36</v>
      </c>
      <c r="B793" s="39" t="n">
        <f aca="false">EDATE(StartDate,A793-1)</f>
        <v>47453</v>
      </c>
      <c r="C793" s="24" t="str">
        <f aca="false">Monthly!$B$30</f>
        <v>EnergyWave, Inc.</v>
      </c>
      <c r="D793" s="24" t="str">
        <f aca="false">Monthly!$C$30</f>
        <v>Facilities</v>
      </c>
      <c r="E793" s="24" t="str">
        <f aca="false">Monthly!$D$30</f>
        <v>Build-out</v>
      </c>
      <c r="F793" s="24" t="str">
        <f aca="false">Monthly!$A$30</f>
        <v>Lab build-out (power, ventilation, benches, shielding)</v>
      </c>
      <c r="G793" s="20" t="n">
        <f aca="false">Monthly!AO$30</f>
        <v>0</v>
      </c>
      <c r="H793" s="24" t="str">
        <f aca="false">ScenarioName</f>
        <v>Base</v>
      </c>
    </row>
    <row r="794" customFormat="false" ht="15" hidden="false" customHeight="false" outlineLevel="0" collapsed="false">
      <c r="A794" s="8" t="n">
        <v>1</v>
      </c>
      <c r="B794" s="39" t="n">
        <f aca="false">EDATE(StartDate,A794-1)</f>
        <v>46388</v>
      </c>
      <c r="C794" s="24" t="str">
        <f aca="false">Monthly!$B$31</f>
        <v>EnergyWave, Inc.</v>
      </c>
      <c r="D794" s="24" t="str">
        <f aca="false">Monthly!$C$31</f>
        <v>Facilities</v>
      </c>
      <c r="E794" s="24" t="str">
        <f aca="false">Monthly!$D$31</f>
        <v>Utilities</v>
      </c>
      <c r="F794" s="24" t="str">
        <f aca="false">Monthly!$A$31</f>
        <v>Utilities, internet, security</v>
      </c>
      <c r="G794" s="20" t="n">
        <f aca="false">Monthly!F$31</f>
        <v>0</v>
      </c>
      <c r="H794" s="24" t="str">
        <f aca="false">ScenarioName</f>
        <v>Base</v>
      </c>
    </row>
    <row r="795" customFormat="false" ht="15" hidden="false" customHeight="false" outlineLevel="0" collapsed="false">
      <c r="A795" s="8" t="n">
        <v>2</v>
      </c>
      <c r="B795" s="39" t="n">
        <f aca="false">EDATE(StartDate,A795-1)</f>
        <v>46419</v>
      </c>
      <c r="C795" s="24" t="str">
        <f aca="false">Monthly!$B$31</f>
        <v>EnergyWave, Inc.</v>
      </c>
      <c r="D795" s="24" t="str">
        <f aca="false">Monthly!$C$31</f>
        <v>Facilities</v>
      </c>
      <c r="E795" s="24" t="str">
        <f aca="false">Monthly!$D$31</f>
        <v>Utilities</v>
      </c>
      <c r="F795" s="24" t="str">
        <f aca="false">Monthly!$A$31</f>
        <v>Utilities, internet, security</v>
      </c>
      <c r="G795" s="20" t="n">
        <f aca="false">Monthly!G$31</f>
        <v>4000</v>
      </c>
      <c r="H795" s="24" t="str">
        <f aca="false">ScenarioName</f>
        <v>Base</v>
      </c>
    </row>
    <row r="796" customFormat="false" ht="15" hidden="false" customHeight="false" outlineLevel="0" collapsed="false">
      <c r="A796" s="8" t="n">
        <v>3</v>
      </c>
      <c r="B796" s="39" t="n">
        <f aca="false">EDATE(StartDate,A796-1)</f>
        <v>46447</v>
      </c>
      <c r="C796" s="24" t="str">
        <f aca="false">Monthly!$B$31</f>
        <v>EnergyWave, Inc.</v>
      </c>
      <c r="D796" s="24" t="str">
        <f aca="false">Monthly!$C$31</f>
        <v>Facilities</v>
      </c>
      <c r="E796" s="24" t="str">
        <f aca="false">Monthly!$D$31</f>
        <v>Utilities</v>
      </c>
      <c r="F796" s="24" t="str">
        <f aca="false">Monthly!$A$31</f>
        <v>Utilities, internet, security</v>
      </c>
      <c r="G796" s="20" t="n">
        <f aca="false">Monthly!H$31</f>
        <v>4000</v>
      </c>
      <c r="H796" s="24" t="str">
        <f aca="false">ScenarioName</f>
        <v>Base</v>
      </c>
    </row>
    <row r="797" customFormat="false" ht="15" hidden="false" customHeight="false" outlineLevel="0" collapsed="false">
      <c r="A797" s="8" t="n">
        <v>4</v>
      </c>
      <c r="B797" s="39" t="n">
        <f aca="false">EDATE(StartDate,A797-1)</f>
        <v>46478</v>
      </c>
      <c r="C797" s="24" t="str">
        <f aca="false">Monthly!$B$31</f>
        <v>EnergyWave, Inc.</v>
      </c>
      <c r="D797" s="24" t="str">
        <f aca="false">Monthly!$C$31</f>
        <v>Facilities</v>
      </c>
      <c r="E797" s="24" t="str">
        <f aca="false">Monthly!$D$31</f>
        <v>Utilities</v>
      </c>
      <c r="F797" s="24" t="str">
        <f aca="false">Monthly!$A$31</f>
        <v>Utilities, internet, security</v>
      </c>
      <c r="G797" s="20" t="n">
        <f aca="false">Monthly!I$31</f>
        <v>4000</v>
      </c>
      <c r="H797" s="24" t="str">
        <f aca="false">ScenarioName</f>
        <v>Base</v>
      </c>
    </row>
    <row r="798" customFormat="false" ht="15" hidden="false" customHeight="false" outlineLevel="0" collapsed="false">
      <c r="A798" s="8" t="n">
        <v>5</v>
      </c>
      <c r="B798" s="39" t="n">
        <f aca="false">EDATE(StartDate,A798-1)</f>
        <v>46508</v>
      </c>
      <c r="C798" s="24" t="str">
        <f aca="false">Monthly!$B$31</f>
        <v>EnergyWave, Inc.</v>
      </c>
      <c r="D798" s="24" t="str">
        <f aca="false">Monthly!$C$31</f>
        <v>Facilities</v>
      </c>
      <c r="E798" s="24" t="str">
        <f aca="false">Monthly!$D$31</f>
        <v>Utilities</v>
      </c>
      <c r="F798" s="24" t="str">
        <f aca="false">Monthly!$A$31</f>
        <v>Utilities, internet, security</v>
      </c>
      <c r="G798" s="20" t="n">
        <f aca="false">Monthly!J$31</f>
        <v>4000</v>
      </c>
      <c r="H798" s="24" t="str">
        <f aca="false">ScenarioName</f>
        <v>Base</v>
      </c>
    </row>
    <row r="799" customFormat="false" ht="15" hidden="false" customHeight="false" outlineLevel="0" collapsed="false">
      <c r="A799" s="8" t="n">
        <v>6</v>
      </c>
      <c r="B799" s="39" t="n">
        <f aca="false">EDATE(StartDate,A799-1)</f>
        <v>46539</v>
      </c>
      <c r="C799" s="24" t="str">
        <f aca="false">Monthly!$B$31</f>
        <v>EnergyWave, Inc.</v>
      </c>
      <c r="D799" s="24" t="str">
        <f aca="false">Monthly!$C$31</f>
        <v>Facilities</v>
      </c>
      <c r="E799" s="24" t="str">
        <f aca="false">Monthly!$D$31</f>
        <v>Utilities</v>
      </c>
      <c r="F799" s="24" t="str">
        <f aca="false">Monthly!$A$31</f>
        <v>Utilities, internet, security</v>
      </c>
      <c r="G799" s="20" t="n">
        <f aca="false">Monthly!K$31</f>
        <v>4000</v>
      </c>
      <c r="H799" s="24" t="str">
        <f aca="false">ScenarioName</f>
        <v>Base</v>
      </c>
    </row>
    <row r="800" customFormat="false" ht="15" hidden="false" customHeight="false" outlineLevel="0" collapsed="false">
      <c r="A800" s="8" t="n">
        <v>7</v>
      </c>
      <c r="B800" s="39" t="n">
        <f aca="false">EDATE(StartDate,A800-1)</f>
        <v>46569</v>
      </c>
      <c r="C800" s="24" t="str">
        <f aca="false">Monthly!$B$31</f>
        <v>EnergyWave, Inc.</v>
      </c>
      <c r="D800" s="24" t="str">
        <f aca="false">Monthly!$C$31</f>
        <v>Facilities</v>
      </c>
      <c r="E800" s="24" t="str">
        <f aca="false">Monthly!$D$31</f>
        <v>Utilities</v>
      </c>
      <c r="F800" s="24" t="str">
        <f aca="false">Monthly!$A$31</f>
        <v>Utilities, internet, security</v>
      </c>
      <c r="G800" s="20" t="n">
        <f aca="false">Monthly!L$31</f>
        <v>4000</v>
      </c>
      <c r="H800" s="24" t="str">
        <f aca="false">ScenarioName</f>
        <v>Base</v>
      </c>
    </row>
    <row r="801" customFormat="false" ht="15" hidden="false" customHeight="false" outlineLevel="0" collapsed="false">
      <c r="A801" s="8" t="n">
        <v>8</v>
      </c>
      <c r="B801" s="39" t="n">
        <f aca="false">EDATE(StartDate,A801-1)</f>
        <v>46600</v>
      </c>
      <c r="C801" s="24" t="str">
        <f aca="false">Monthly!$B$31</f>
        <v>EnergyWave, Inc.</v>
      </c>
      <c r="D801" s="24" t="str">
        <f aca="false">Monthly!$C$31</f>
        <v>Facilities</v>
      </c>
      <c r="E801" s="24" t="str">
        <f aca="false">Monthly!$D$31</f>
        <v>Utilities</v>
      </c>
      <c r="F801" s="24" t="str">
        <f aca="false">Monthly!$A$31</f>
        <v>Utilities, internet, security</v>
      </c>
      <c r="G801" s="20" t="n">
        <f aca="false">Monthly!M$31</f>
        <v>4000</v>
      </c>
      <c r="H801" s="24" t="str">
        <f aca="false">ScenarioName</f>
        <v>Base</v>
      </c>
    </row>
    <row r="802" customFormat="false" ht="15" hidden="false" customHeight="false" outlineLevel="0" collapsed="false">
      <c r="A802" s="8" t="n">
        <v>9</v>
      </c>
      <c r="B802" s="39" t="n">
        <f aca="false">EDATE(StartDate,A802-1)</f>
        <v>46631</v>
      </c>
      <c r="C802" s="24" t="str">
        <f aca="false">Monthly!$B$31</f>
        <v>EnergyWave, Inc.</v>
      </c>
      <c r="D802" s="24" t="str">
        <f aca="false">Monthly!$C$31</f>
        <v>Facilities</v>
      </c>
      <c r="E802" s="24" t="str">
        <f aca="false">Monthly!$D$31</f>
        <v>Utilities</v>
      </c>
      <c r="F802" s="24" t="str">
        <f aca="false">Monthly!$A$31</f>
        <v>Utilities, internet, security</v>
      </c>
      <c r="G802" s="20" t="n">
        <f aca="false">Monthly!N$31</f>
        <v>4000</v>
      </c>
      <c r="H802" s="24" t="str">
        <f aca="false">ScenarioName</f>
        <v>Base</v>
      </c>
    </row>
    <row r="803" customFormat="false" ht="15" hidden="false" customHeight="false" outlineLevel="0" collapsed="false">
      <c r="A803" s="8" t="n">
        <v>10</v>
      </c>
      <c r="B803" s="39" t="n">
        <f aca="false">EDATE(StartDate,A803-1)</f>
        <v>46661</v>
      </c>
      <c r="C803" s="24" t="str">
        <f aca="false">Monthly!$B$31</f>
        <v>EnergyWave, Inc.</v>
      </c>
      <c r="D803" s="24" t="str">
        <f aca="false">Monthly!$C$31</f>
        <v>Facilities</v>
      </c>
      <c r="E803" s="24" t="str">
        <f aca="false">Monthly!$D$31</f>
        <v>Utilities</v>
      </c>
      <c r="F803" s="24" t="str">
        <f aca="false">Monthly!$A$31</f>
        <v>Utilities, internet, security</v>
      </c>
      <c r="G803" s="20" t="n">
        <f aca="false">Monthly!O$31</f>
        <v>4000</v>
      </c>
      <c r="H803" s="24" t="str">
        <f aca="false">ScenarioName</f>
        <v>Base</v>
      </c>
    </row>
    <row r="804" customFormat="false" ht="15" hidden="false" customHeight="false" outlineLevel="0" collapsed="false">
      <c r="A804" s="8" t="n">
        <v>11</v>
      </c>
      <c r="B804" s="39" t="n">
        <f aca="false">EDATE(StartDate,A804-1)</f>
        <v>46692</v>
      </c>
      <c r="C804" s="24" t="str">
        <f aca="false">Monthly!$B$31</f>
        <v>EnergyWave, Inc.</v>
      </c>
      <c r="D804" s="24" t="str">
        <f aca="false">Monthly!$C$31</f>
        <v>Facilities</v>
      </c>
      <c r="E804" s="24" t="str">
        <f aca="false">Monthly!$D$31</f>
        <v>Utilities</v>
      </c>
      <c r="F804" s="24" t="str">
        <f aca="false">Monthly!$A$31</f>
        <v>Utilities, internet, security</v>
      </c>
      <c r="G804" s="20" t="n">
        <f aca="false">Monthly!P$31</f>
        <v>4000</v>
      </c>
      <c r="H804" s="24" t="str">
        <f aca="false">ScenarioName</f>
        <v>Base</v>
      </c>
    </row>
    <row r="805" customFormat="false" ht="15" hidden="false" customHeight="false" outlineLevel="0" collapsed="false">
      <c r="A805" s="8" t="n">
        <v>12</v>
      </c>
      <c r="B805" s="39" t="n">
        <f aca="false">EDATE(StartDate,A805-1)</f>
        <v>46722</v>
      </c>
      <c r="C805" s="24" t="str">
        <f aca="false">Monthly!$B$31</f>
        <v>EnergyWave, Inc.</v>
      </c>
      <c r="D805" s="24" t="str">
        <f aca="false">Monthly!$C$31</f>
        <v>Facilities</v>
      </c>
      <c r="E805" s="24" t="str">
        <f aca="false">Monthly!$D$31</f>
        <v>Utilities</v>
      </c>
      <c r="F805" s="24" t="str">
        <f aca="false">Monthly!$A$31</f>
        <v>Utilities, internet, security</v>
      </c>
      <c r="G805" s="20" t="n">
        <f aca="false">Monthly!Q$31</f>
        <v>4000</v>
      </c>
      <c r="H805" s="24" t="str">
        <f aca="false">ScenarioName</f>
        <v>Base</v>
      </c>
    </row>
    <row r="806" customFormat="false" ht="15" hidden="false" customHeight="false" outlineLevel="0" collapsed="false">
      <c r="A806" s="8" t="n">
        <v>13</v>
      </c>
      <c r="B806" s="39" t="n">
        <f aca="false">EDATE(StartDate,A806-1)</f>
        <v>46753</v>
      </c>
      <c r="C806" s="24" t="str">
        <f aca="false">Monthly!$B$31</f>
        <v>EnergyWave, Inc.</v>
      </c>
      <c r="D806" s="24" t="str">
        <f aca="false">Monthly!$C$31</f>
        <v>Facilities</v>
      </c>
      <c r="E806" s="24" t="str">
        <f aca="false">Monthly!$D$31</f>
        <v>Utilities</v>
      </c>
      <c r="F806" s="24" t="str">
        <f aca="false">Monthly!$A$31</f>
        <v>Utilities, internet, security</v>
      </c>
      <c r="G806" s="20" t="n">
        <f aca="false">Monthly!R$31</f>
        <v>4000</v>
      </c>
      <c r="H806" s="24" t="str">
        <f aca="false">ScenarioName</f>
        <v>Base</v>
      </c>
    </row>
    <row r="807" customFormat="false" ht="15" hidden="false" customHeight="false" outlineLevel="0" collapsed="false">
      <c r="A807" s="8" t="n">
        <v>14</v>
      </c>
      <c r="B807" s="39" t="n">
        <f aca="false">EDATE(StartDate,A807-1)</f>
        <v>46784</v>
      </c>
      <c r="C807" s="24" t="str">
        <f aca="false">Monthly!$B$31</f>
        <v>EnergyWave, Inc.</v>
      </c>
      <c r="D807" s="24" t="str">
        <f aca="false">Monthly!$C$31</f>
        <v>Facilities</v>
      </c>
      <c r="E807" s="24" t="str">
        <f aca="false">Monthly!$D$31</f>
        <v>Utilities</v>
      </c>
      <c r="F807" s="24" t="str">
        <f aca="false">Monthly!$A$31</f>
        <v>Utilities, internet, security</v>
      </c>
      <c r="G807" s="20" t="n">
        <f aca="false">Monthly!S$31</f>
        <v>4000</v>
      </c>
      <c r="H807" s="24" t="str">
        <f aca="false">ScenarioName</f>
        <v>Base</v>
      </c>
    </row>
    <row r="808" customFormat="false" ht="15" hidden="false" customHeight="false" outlineLevel="0" collapsed="false">
      <c r="A808" s="8" t="n">
        <v>15</v>
      </c>
      <c r="B808" s="39" t="n">
        <f aca="false">EDATE(StartDate,A808-1)</f>
        <v>46813</v>
      </c>
      <c r="C808" s="24" t="str">
        <f aca="false">Monthly!$B$31</f>
        <v>EnergyWave, Inc.</v>
      </c>
      <c r="D808" s="24" t="str">
        <f aca="false">Monthly!$C$31</f>
        <v>Facilities</v>
      </c>
      <c r="E808" s="24" t="str">
        <f aca="false">Monthly!$D$31</f>
        <v>Utilities</v>
      </c>
      <c r="F808" s="24" t="str">
        <f aca="false">Monthly!$A$31</f>
        <v>Utilities, internet, security</v>
      </c>
      <c r="G808" s="20" t="n">
        <f aca="false">Monthly!T$31</f>
        <v>4000</v>
      </c>
      <c r="H808" s="24" t="str">
        <f aca="false">ScenarioName</f>
        <v>Base</v>
      </c>
    </row>
    <row r="809" customFormat="false" ht="15" hidden="false" customHeight="false" outlineLevel="0" collapsed="false">
      <c r="A809" s="8" t="n">
        <v>16</v>
      </c>
      <c r="B809" s="39" t="n">
        <f aca="false">EDATE(StartDate,A809-1)</f>
        <v>46844</v>
      </c>
      <c r="C809" s="24" t="str">
        <f aca="false">Monthly!$B$31</f>
        <v>EnergyWave, Inc.</v>
      </c>
      <c r="D809" s="24" t="str">
        <f aca="false">Monthly!$C$31</f>
        <v>Facilities</v>
      </c>
      <c r="E809" s="24" t="str">
        <f aca="false">Monthly!$D$31</f>
        <v>Utilities</v>
      </c>
      <c r="F809" s="24" t="str">
        <f aca="false">Monthly!$A$31</f>
        <v>Utilities, internet, security</v>
      </c>
      <c r="G809" s="20" t="n">
        <f aca="false">Monthly!U$31</f>
        <v>4000</v>
      </c>
      <c r="H809" s="24" t="str">
        <f aca="false">ScenarioName</f>
        <v>Base</v>
      </c>
    </row>
    <row r="810" customFormat="false" ht="15" hidden="false" customHeight="false" outlineLevel="0" collapsed="false">
      <c r="A810" s="8" t="n">
        <v>17</v>
      </c>
      <c r="B810" s="39" t="n">
        <f aca="false">EDATE(StartDate,A810-1)</f>
        <v>46874</v>
      </c>
      <c r="C810" s="24" t="str">
        <f aca="false">Monthly!$B$31</f>
        <v>EnergyWave, Inc.</v>
      </c>
      <c r="D810" s="24" t="str">
        <f aca="false">Monthly!$C$31</f>
        <v>Facilities</v>
      </c>
      <c r="E810" s="24" t="str">
        <f aca="false">Monthly!$D$31</f>
        <v>Utilities</v>
      </c>
      <c r="F810" s="24" t="str">
        <f aca="false">Monthly!$A$31</f>
        <v>Utilities, internet, security</v>
      </c>
      <c r="G810" s="20" t="n">
        <f aca="false">Monthly!V$31</f>
        <v>4000</v>
      </c>
      <c r="H810" s="24" t="str">
        <f aca="false">ScenarioName</f>
        <v>Base</v>
      </c>
    </row>
    <row r="811" customFormat="false" ht="15" hidden="false" customHeight="false" outlineLevel="0" collapsed="false">
      <c r="A811" s="8" t="n">
        <v>18</v>
      </c>
      <c r="B811" s="39" t="n">
        <f aca="false">EDATE(StartDate,A811-1)</f>
        <v>46905</v>
      </c>
      <c r="C811" s="24" t="str">
        <f aca="false">Monthly!$B$31</f>
        <v>EnergyWave, Inc.</v>
      </c>
      <c r="D811" s="24" t="str">
        <f aca="false">Monthly!$C$31</f>
        <v>Facilities</v>
      </c>
      <c r="E811" s="24" t="str">
        <f aca="false">Monthly!$D$31</f>
        <v>Utilities</v>
      </c>
      <c r="F811" s="24" t="str">
        <f aca="false">Monthly!$A$31</f>
        <v>Utilities, internet, security</v>
      </c>
      <c r="G811" s="20" t="n">
        <f aca="false">Monthly!W$31</f>
        <v>4000</v>
      </c>
      <c r="H811" s="24" t="str">
        <f aca="false">ScenarioName</f>
        <v>Base</v>
      </c>
    </row>
    <row r="812" customFormat="false" ht="15" hidden="false" customHeight="false" outlineLevel="0" collapsed="false">
      <c r="A812" s="8" t="n">
        <v>19</v>
      </c>
      <c r="B812" s="39" t="n">
        <f aca="false">EDATE(StartDate,A812-1)</f>
        <v>46935</v>
      </c>
      <c r="C812" s="24" t="str">
        <f aca="false">Monthly!$B$31</f>
        <v>EnergyWave, Inc.</v>
      </c>
      <c r="D812" s="24" t="str">
        <f aca="false">Monthly!$C$31</f>
        <v>Facilities</v>
      </c>
      <c r="E812" s="24" t="str">
        <f aca="false">Monthly!$D$31</f>
        <v>Utilities</v>
      </c>
      <c r="F812" s="24" t="str">
        <f aca="false">Monthly!$A$31</f>
        <v>Utilities, internet, security</v>
      </c>
      <c r="G812" s="20" t="n">
        <f aca="false">Monthly!X$31</f>
        <v>4000</v>
      </c>
      <c r="H812" s="24" t="str">
        <f aca="false">ScenarioName</f>
        <v>Base</v>
      </c>
    </row>
    <row r="813" customFormat="false" ht="15" hidden="false" customHeight="false" outlineLevel="0" collapsed="false">
      <c r="A813" s="8" t="n">
        <v>20</v>
      </c>
      <c r="B813" s="39" t="n">
        <f aca="false">EDATE(StartDate,A813-1)</f>
        <v>46966</v>
      </c>
      <c r="C813" s="24" t="str">
        <f aca="false">Monthly!$B$31</f>
        <v>EnergyWave, Inc.</v>
      </c>
      <c r="D813" s="24" t="str">
        <f aca="false">Monthly!$C$31</f>
        <v>Facilities</v>
      </c>
      <c r="E813" s="24" t="str">
        <f aca="false">Monthly!$D$31</f>
        <v>Utilities</v>
      </c>
      <c r="F813" s="24" t="str">
        <f aca="false">Monthly!$A$31</f>
        <v>Utilities, internet, security</v>
      </c>
      <c r="G813" s="20" t="n">
        <f aca="false">Monthly!Y$31</f>
        <v>4000</v>
      </c>
      <c r="H813" s="24" t="str">
        <f aca="false">ScenarioName</f>
        <v>Base</v>
      </c>
    </row>
    <row r="814" customFormat="false" ht="15" hidden="false" customHeight="false" outlineLevel="0" collapsed="false">
      <c r="A814" s="8" t="n">
        <v>21</v>
      </c>
      <c r="B814" s="39" t="n">
        <f aca="false">EDATE(StartDate,A814-1)</f>
        <v>46997</v>
      </c>
      <c r="C814" s="24" t="str">
        <f aca="false">Monthly!$B$31</f>
        <v>EnergyWave, Inc.</v>
      </c>
      <c r="D814" s="24" t="str">
        <f aca="false">Monthly!$C$31</f>
        <v>Facilities</v>
      </c>
      <c r="E814" s="24" t="str">
        <f aca="false">Monthly!$D$31</f>
        <v>Utilities</v>
      </c>
      <c r="F814" s="24" t="str">
        <f aca="false">Monthly!$A$31</f>
        <v>Utilities, internet, security</v>
      </c>
      <c r="G814" s="20" t="n">
        <f aca="false">Monthly!Z$31</f>
        <v>4000</v>
      </c>
      <c r="H814" s="24" t="str">
        <f aca="false">ScenarioName</f>
        <v>Base</v>
      </c>
    </row>
    <row r="815" customFormat="false" ht="15" hidden="false" customHeight="false" outlineLevel="0" collapsed="false">
      <c r="A815" s="8" t="n">
        <v>22</v>
      </c>
      <c r="B815" s="39" t="n">
        <f aca="false">EDATE(StartDate,A815-1)</f>
        <v>47027</v>
      </c>
      <c r="C815" s="24" t="str">
        <f aca="false">Monthly!$B$31</f>
        <v>EnergyWave, Inc.</v>
      </c>
      <c r="D815" s="24" t="str">
        <f aca="false">Monthly!$C$31</f>
        <v>Facilities</v>
      </c>
      <c r="E815" s="24" t="str">
        <f aca="false">Monthly!$D$31</f>
        <v>Utilities</v>
      </c>
      <c r="F815" s="24" t="str">
        <f aca="false">Monthly!$A$31</f>
        <v>Utilities, internet, security</v>
      </c>
      <c r="G815" s="20" t="n">
        <f aca="false">Monthly!AA$31</f>
        <v>4000</v>
      </c>
      <c r="H815" s="24" t="str">
        <f aca="false">ScenarioName</f>
        <v>Base</v>
      </c>
    </row>
    <row r="816" customFormat="false" ht="15" hidden="false" customHeight="false" outlineLevel="0" collapsed="false">
      <c r="A816" s="8" t="n">
        <v>23</v>
      </c>
      <c r="B816" s="39" t="n">
        <f aca="false">EDATE(StartDate,A816-1)</f>
        <v>47058</v>
      </c>
      <c r="C816" s="24" t="str">
        <f aca="false">Monthly!$B$31</f>
        <v>EnergyWave, Inc.</v>
      </c>
      <c r="D816" s="24" t="str">
        <f aca="false">Monthly!$C$31</f>
        <v>Facilities</v>
      </c>
      <c r="E816" s="24" t="str">
        <f aca="false">Monthly!$D$31</f>
        <v>Utilities</v>
      </c>
      <c r="F816" s="24" t="str">
        <f aca="false">Monthly!$A$31</f>
        <v>Utilities, internet, security</v>
      </c>
      <c r="G816" s="20" t="n">
        <f aca="false">Monthly!AB$31</f>
        <v>4000</v>
      </c>
      <c r="H816" s="24" t="str">
        <f aca="false">ScenarioName</f>
        <v>Base</v>
      </c>
    </row>
    <row r="817" customFormat="false" ht="15" hidden="false" customHeight="false" outlineLevel="0" collapsed="false">
      <c r="A817" s="8" t="n">
        <v>24</v>
      </c>
      <c r="B817" s="39" t="n">
        <f aca="false">EDATE(StartDate,A817-1)</f>
        <v>47088</v>
      </c>
      <c r="C817" s="24" t="str">
        <f aca="false">Monthly!$B$31</f>
        <v>EnergyWave, Inc.</v>
      </c>
      <c r="D817" s="24" t="str">
        <f aca="false">Monthly!$C$31</f>
        <v>Facilities</v>
      </c>
      <c r="E817" s="24" t="str">
        <f aca="false">Monthly!$D$31</f>
        <v>Utilities</v>
      </c>
      <c r="F817" s="24" t="str">
        <f aca="false">Monthly!$A$31</f>
        <v>Utilities, internet, security</v>
      </c>
      <c r="G817" s="20" t="n">
        <f aca="false">Monthly!AC$31</f>
        <v>4000</v>
      </c>
      <c r="H817" s="24" t="str">
        <f aca="false">ScenarioName</f>
        <v>Base</v>
      </c>
    </row>
    <row r="818" customFormat="false" ht="15" hidden="false" customHeight="false" outlineLevel="0" collapsed="false">
      <c r="A818" s="8" t="n">
        <v>25</v>
      </c>
      <c r="B818" s="39" t="n">
        <f aca="false">EDATE(StartDate,A818-1)</f>
        <v>47119</v>
      </c>
      <c r="C818" s="24" t="str">
        <f aca="false">Monthly!$B$31</f>
        <v>EnergyWave, Inc.</v>
      </c>
      <c r="D818" s="24" t="str">
        <f aca="false">Monthly!$C$31</f>
        <v>Facilities</v>
      </c>
      <c r="E818" s="24" t="str">
        <f aca="false">Monthly!$D$31</f>
        <v>Utilities</v>
      </c>
      <c r="F818" s="24" t="str">
        <f aca="false">Monthly!$A$31</f>
        <v>Utilities, internet, security</v>
      </c>
      <c r="G818" s="20" t="n">
        <f aca="false">Monthly!AD$31</f>
        <v>4000</v>
      </c>
      <c r="H818" s="24" t="str">
        <f aca="false">ScenarioName</f>
        <v>Base</v>
      </c>
    </row>
    <row r="819" customFormat="false" ht="15" hidden="false" customHeight="false" outlineLevel="0" collapsed="false">
      <c r="A819" s="8" t="n">
        <v>26</v>
      </c>
      <c r="B819" s="39" t="n">
        <f aca="false">EDATE(StartDate,A819-1)</f>
        <v>47150</v>
      </c>
      <c r="C819" s="24" t="str">
        <f aca="false">Monthly!$B$31</f>
        <v>EnergyWave, Inc.</v>
      </c>
      <c r="D819" s="24" t="str">
        <f aca="false">Monthly!$C$31</f>
        <v>Facilities</v>
      </c>
      <c r="E819" s="24" t="str">
        <f aca="false">Monthly!$D$31</f>
        <v>Utilities</v>
      </c>
      <c r="F819" s="24" t="str">
        <f aca="false">Monthly!$A$31</f>
        <v>Utilities, internet, security</v>
      </c>
      <c r="G819" s="20" t="n">
        <f aca="false">Monthly!AE$31</f>
        <v>4000</v>
      </c>
      <c r="H819" s="24" t="str">
        <f aca="false">ScenarioName</f>
        <v>Base</v>
      </c>
    </row>
    <row r="820" customFormat="false" ht="15" hidden="false" customHeight="false" outlineLevel="0" collapsed="false">
      <c r="A820" s="8" t="n">
        <v>27</v>
      </c>
      <c r="B820" s="39" t="n">
        <f aca="false">EDATE(StartDate,A820-1)</f>
        <v>47178</v>
      </c>
      <c r="C820" s="24" t="str">
        <f aca="false">Monthly!$B$31</f>
        <v>EnergyWave, Inc.</v>
      </c>
      <c r="D820" s="24" t="str">
        <f aca="false">Monthly!$C$31</f>
        <v>Facilities</v>
      </c>
      <c r="E820" s="24" t="str">
        <f aca="false">Monthly!$D$31</f>
        <v>Utilities</v>
      </c>
      <c r="F820" s="24" t="str">
        <f aca="false">Monthly!$A$31</f>
        <v>Utilities, internet, security</v>
      </c>
      <c r="G820" s="20" t="n">
        <f aca="false">Monthly!AF$31</f>
        <v>4000</v>
      </c>
      <c r="H820" s="24" t="str">
        <f aca="false">ScenarioName</f>
        <v>Base</v>
      </c>
    </row>
    <row r="821" customFormat="false" ht="15" hidden="false" customHeight="false" outlineLevel="0" collapsed="false">
      <c r="A821" s="8" t="n">
        <v>28</v>
      </c>
      <c r="B821" s="39" t="n">
        <f aca="false">EDATE(StartDate,A821-1)</f>
        <v>47209</v>
      </c>
      <c r="C821" s="24" t="str">
        <f aca="false">Monthly!$B$31</f>
        <v>EnergyWave, Inc.</v>
      </c>
      <c r="D821" s="24" t="str">
        <f aca="false">Monthly!$C$31</f>
        <v>Facilities</v>
      </c>
      <c r="E821" s="24" t="str">
        <f aca="false">Monthly!$D$31</f>
        <v>Utilities</v>
      </c>
      <c r="F821" s="24" t="str">
        <f aca="false">Monthly!$A$31</f>
        <v>Utilities, internet, security</v>
      </c>
      <c r="G821" s="20" t="n">
        <f aca="false">Monthly!AG$31</f>
        <v>4000</v>
      </c>
      <c r="H821" s="24" t="str">
        <f aca="false">ScenarioName</f>
        <v>Base</v>
      </c>
    </row>
    <row r="822" customFormat="false" ht="15" hidden="false" customHeight="false" outlineLevel="0" collapsed="false">
      <c r="A822" s="8" t="n">
        <v>29</v>
      </c>
      <c r="B822" s="39" t="n">
        <f aca="false">EDATE(StartDate,A822-1)</f>
        <v>47239</v>
      </c>
      <c r="C822" s="24" t="str">
        <f aca="false">Monthly!$B$31</f>
        <v>EnergyWave, Inc.</v>
      </c>
      <c r="D822" s="24" t="str">
        <f aca="false">Monthly!$C$31</f>
        <v>Facilities</v>
      </c>
      <c r="E822" s="24" t="str">
        <f aca="false">Monthly!$D$31</f>
        <v>Utilities</v>
      </c>
      <c r="F822" s="24" t="str">
        <f aca="false">Monthly!$A$31</f>
        <v>Utilities, internet, security</v>
      </c>
      <c r="G822" s="20" t="n">
        <f aca="false">Monthly!AH$31</f>
        <v>4000</v>
      </c>
      <c r="H822" s="24" t="str">
        <f aca="false">ScenarioName</f>
        <v>Base</v>
      </c>
    </row>
    <row r="823" customFormat="false" ht="15" hidden="false" customHeight="false" outlineLevel="0" collapsed="false">
      <c r="A823" s="8" t="n">
        <v>30</v>
      </c>
      <c r="B823" s="39" t="n">
        <f aca="false">EDATE(StartDate,A823-1)</f>
        <v>47270</v>
      </c>
      <c r="C823" s="24" t="str">
        <f aca="false">Monthly!$B$31</f>
        <v>EnergyWave, Inc.</v>
      </c>
      <c r="D823" s="24" t="str">
        <f aca="false">Monthly!$C$31</f>
        <v>Facilities</v>
      </c>
      <c r="E823" s="24" t="str">
        <f aca="false">Monthly!$D$31</f>
        <v>Utilities</v>
      </c>
      <c r="F823" s="24" t="str">
        <f aca="false">Monthly!$A$31</f>
        <v>Utilities, internet, security</v>
      </c>
      <c r="G823" s="20" t="n">
        <f aca="false">Monthly!AI$31</f>
        <v>4000</v>
      </c>
      <c r="H823" s="24" t="str">
        <f aca="false">ScenarioName</f>
        <v>Base</v>
      </c>
    </row>
    <row r="824" customFormat="false" ht="15" hidden="false" customHeight="false" outlineLevel="0" collapsed="false">
      <c r="A824" s="8" t="n">
        <v>31</v>
      </c>
      <c r="B824" s="39" t="n">
        <f aca="false">EDATE(StartDate,A824-1)</f>
        <v>47300</v>
      </c>
      <c r="C824" s="24" t="str">
        <f aca="false">Monthly!$B$31</f>
        <v>EnergyWave, Inc.</v>
      </c>
      <c r="D824" s="24" t="str">
        <f aca="false">Monthly!$C$31</f>
        <v>Facilities</v>
      </c>
      <c r="E824" s="24" t="str">
        <f aca="false">Monthly!$D$31</f>
        <v>Utilities</v>
      </c>
      <c r="F824" s="24" t="str">
        <f aca="false">Monthly!$A$31</f>
        <v>Utilities, internet, security</v>
      </c>
      <c r="G824" s="20" t="n">
        <f aca="false">Monthly!AJ$31</f>
        <v>4000</v>
      </c>
      <c r="H824" s="24" t="str">
        <f aca="false">ScenarioName</f>
        <v>Base</v>
      </c>
    </row>
    <row r="825" customFormat="false" ht="15" hidden="false" customHeight="false" outlineLevel="0" collapsed="false">
      <c r="A825" s="8" t="n">
        <v>32</v>
      </c>
      <c r="B825" s="39" t="n">
        <f aca="false">EDATE(StartDate,A825-1)</f>
        <v>47331</v>
      </c>
      <c r="C825" s="24" t="str">
        <f aca="false">Monthly!$B$31</f>
        <v>EnergyWave, Inc.</v>
      </c>
      <c r="D825" s="24" t="str">
        <f aca="false">Monthly!$C$31</f>
        <v>Facilities</v>
      </c>
      <c r="E825" s="24" t="str">
        <f aca="false">Monthly!$D$31</f>
        <v>Utilities</v>
      </c>
      <c r="F825" s="24" t="str">
        <f aca="false">Monthly!$A$31</f>
        <v>Utilities, internet, security</v>
      </c>
      <c r="G825" s="20" t="n">
        <f aca="false">Monthly!AK$31</f>
        <v>4000</v>
      </c>
      <c r="H825" s="24" t="str">
        <f aca="false">ScenarioName</f>
        <v>Base</v>
      </c>
    </row>
    <row r="826" customFormat="false" ht="15" hidden="false" customHeight="false" outlineLevel="0" collapsed="false">
      <c r="A826" s="8" t="n">
        <v>33</v>
      </c>
      <c r="B826" s="39" t="n">
        <f aca="false">EDATE(StartDate,A826-1)</f>
        <v>47362</v>
      </c>
      <c r="C826" s="24" t="str">
        <f aca="false">Monthly!$B$31</f>
        <v>EnergyWave, Inc.</v>
      </c>
      <c r="D826" s="24" t="str">
        <f aca="false">Monthly!$C$31</f>
        <v>Facilities</v>
      </c>
      <c r="E826" s="24" t="str">
        <f aca="false">Monthly!$D$31</f>
        <v>Utilities</v>
      </c>
      <c r="F826" s="24" t="str">
        <f aca="false">Monthly!$A$31</f>
        <v>Utilities, internet, security</v>
      </c>
      <c r="G826" s="20" t="n">
        <f aca="false">Monthly!AL$31</f>
        <v>4000</v>
      </c>
      <c r="H826" s="24" t="str">
        <f aca="false">ScenarioName</f>
        <v>Base</v>
      </c>
    </row>
    <row r="827" customFormat="false" ht="15" hidden="false" customHeight="false" outlineLevel="0" collapsed="false">
      <c r="A827" s="8" t="n">
        <v>34</v>
      </c>
      <c r="B827" s="39" t="n">
        <f aca="false">EDATE(StartDate,A827-1)</f>
        <v>47392</v>
      </c>
      <c r="C827" s="24" t="str">
        <f aca="false">Monthly!$B$31</f>
        <v>EnergyWave, Inc.</v>
      </c>
      <c r="D827" s="24" t="str">
        <f aca="false">Monthly!$C$31</f>
        <v>Facilities</v>
      </c>
      <c r="E827" s="24" t="str">
        <f aca="false">Monthly!$D$31</f>
        <v>Utilities</v>
      </c>
      <c r="F827" s="24" t="str">
        <f aca="false">Monthly!$A$31</f>
        <v>Utilities, internet, security</v>
      </c>
      <c r="G827" s="20" t="n">
        <f aca="false">Monthly!AM$31</f>
        <v>4000</v>
      </c>
      <c r="H827" s="24" t="str">
        <f aca="false">ScenarioName</f>
        <v>Base</v>
      </c>
    </row>
    <row r="828" customFormat="false" ht="15" hidden="false" customHeight="false" outlineLevel="0" collapsed="false">
      <c r="A828" s="8" t="n">
        <v>35</v>
      </c>
      <c r="B828" s="39" t="n">
        <f aca="false">EDATE(StartDate,A828-1)</f>
        <v>47423</v>
      </c>
      <c r="C828" s="24" t="str">
        <f aca="false">Monthly!$B$31</f>
        <v>EnergyWave, Inc.</v>
      </c>
      <c r="D828" s="24" t="str">
        <f aca="false">Monthly!$C$31</f>
        <v>Facilities</v>
      </c>
      <c r="E828" s="24" t="str">
        <f aca="false">Monthly!$D$31</f>
        <v>Utilities</v>
      </c>
      <c r="F828" s="24" t="str">
        <f aca="false">Monthly!$A$31</f>
        <v>Utilities, internet, security</v>
      </c>
      <c r="G828" s="20" t="n">
        <f aca="false">Monthly!AN$31</f>
        <v>4000</v>
      </c>
      <c r="H828" s="24" t="str">
        <f aca="false">ScenarioName</f>
        <v>Base</v>
      </c>
    </row>
    <row r="829" customFormat="false" ht="15" hidden="false" customHeight="false" outlineLevel="0" collapsed="false">
      <c r="A829" s="8" t="n">
        <v>36</v>
      </c>
      <c r="B829" s="39" t="n">
        <f aca="false">EDATE(StartDate,A829-1)</f>
        <v>47453</v>
      </c>
      <c r="C829" s="24" t="str">
        <f aca="false">Monthly!$B$31</f>
        <v>EnergyWave, Inc.</v>
      </c>
      <c r="D829" s="24" t="str">
        <f aca="false">Monthly!$C$31</f>
        <v>Facilities</v>
      </c>
      <c r="E829" s="24" t="str">
        <f aca="false">Monthly!$D$31</f>
        <v>Utilities</v>
      </c>
      <c r="F829" s="24" t="str">
        <f aca="false">Monthly!$A$31</f>
        <v>Utilities, internet, security</v>
      </c>
      <c r="G829" s="20" t="n">
        <f aca="false">Monthly!AO$31</f>
        <v>4000</v>
      </c>
      <c r="H829" s="24" t="str">
        <f aca="false">ScenarioName</f>
        <v>Base</v>
      </c>
    </row>
    <row r="830" customFormat="false" ht="15" hidden="false" customHeight="false" outlineLevel="0" collapsed="false">
      <c r="A830" s="8" t="n">
        <v>1</v>
      </c>
      <c r="B830" s="39" t="n">
        <f aca="false">EDATE(StartDate,A830-1)</f>
        <v>46388</v>
      </c>
      <c r="C830" s="24" t="str">
        <f aca="false">Monthly!$B$32</f>
        <v>EnergyWave, Inc.</v>
      </c>
      <c r="D830" s="24" t="str">
        <f aca="false">Monthly!$C$32</f>
        <v>Equipment</v>
      </c>
      <c r="E830" s="24" t="str">
        <f aca="false">Monthly!$D$32</f>
        <v>Instrumentation</v>
      </c>
      <c r="F830" s="24" t="str">
        <f aca="false">Monthly!$A$32</f>
        <v>Tabletop instrumentation package (calorimeters, power analyzers, precision sources/loads, DAQ, thermal chambers, balances, shielded enclosure, reference standards)</v>
      </c>
      <c r="G830" s="20" t="n">
        <f aca="false">Monthly!F$32</f>
        <v>0</v>
      </c>
      <c r="H830" s="24" t="str">
        <f aca="false">ScenarioName</f>
        <v>Base</v>
      </c>
    </row>
    <row r="831" customFormat="false" ht="15" hidden="false" customHeight="false" outlineLevel="0" collapsed="false">
      <c r="A831" s="8" t="n">
        <v>2</v>
      </c>
      <c r="B831" s="39" t="n">
        <f aca="false">EDATE(StartDate,A831-1)</f>
        <v>46419</v>
      </c>
      <c r="C831" s="24" t="str">
        <f aca="false">Monthly!$B$32</f>
        <v>EnergyWave, Inc.</v>
      </c>
      <c r="D831" s="24" t="str">
        <f aca="false">Monthly!$C$32</f>
        <v>Equipment</v>
      </c>
      <c r="E831" s="24" t="str">
        <f aca="false">Monthly!$D$32</f>
        <v>Instrumentation</v>
      </c>
      <c r="F831" s="24" t="str">
        <f aca="false">Monthly!$A$32</f>
        <v>Tabletop instrumentation package (calorimeters, power analyzers, precision sources/loads, DAQ, thermal chambers, balances, shielded enclosure, reference standards)</v>
      </c>
      <c r="G831" s="20" t="n">
        <f aca="false">Monthly!G$32</f>
        <v>450000</v>
      </c>
      <c r="H831" s="24" t="str">
        <f aca="false">ScenarioName</f>
        <v>Base</v>
      </c>
    </row>
    <row r="832" customFormat="false" ht="15" hidden="false" customHeight="false" outlineLevel="0" collapsed="false">
      <c r="A832" s="8" t="n">
        <v>3</v>
      </c>
      <c r="B832" s="39" t="n">
        <f aca="false">EDATE(StartDate,A832-1)</f>
        <v>46447</v>
      </c>
      <c r="C832" s="24" t="str">
        <f aca="false">Monthly!$B$32</f>
        <v>EnergyWave, Inc.</v>
      </c>
      <c r="D832" s="24" t="str">
        <f aca="false">Monthly!$C$32</f>
        <v>Equipment</v>
      </c>
      <c r="E832" s="24" t="str">
        <f aca="false">Monthly!$D$32</f>
        <v>Instrumentation</v>
      </c>
      <c r="F832" s="24" t="str">
        <f aca="false">Monthly!$A$32</f>
        <v>Tabletop instrumentation package (calorimeters, power analyzers, precision sources/loads, DAQ, thermal chambers, balances, shielded enclosure, reference standards)</v>
      </c>
      <c r="G832" s="20" t="n">
        <f aca="false">Monthly!H$32</f>
        <v>0</v>
      </c>
      <c r="H832" s="24" t="str">
        <f aca="false">ScenarioName</f>
        <v>Base</v>
      </c>
    </row>
    <row r="833" customFormat="false" ht="15" hidden="false" customHeight="false" outlineLevel="0" collapsed="false">
      <c r="A833" s="8" t="n">
        <v>4</v>
      </c>
      <c r="B833" s="39" t="n">
        <f aca="false">EDATE(StartDate,A833-1)</f>
        <v>46478</v>
      </c>
      <c r="C833" s="24" t="str">
        <f aca="false">Monthly!$B$32</f>
        <v>EnergyWave, Inc.</v>
      </c>
      <c r="D833" s="24" t="str">
        <f aca="false">Monthly!$C$32</f>
        <v>Equipment</v>
      </c>
      <c r="E833" s="24" t="str">
        <f aca="false">Monthly!$D$32</f>
        <v>Instrumentation</v>
      </c>
      <c r="F833" s="24" t="str">
        <f aca="false">Monthly!$A$32</f>
        <v>Tabletop instrumentation package (calorimeters, power analyzers, precision sources/loads, DAQ, thermal chambers, balances, shielded enclosure, reference standards)</v>
      </c>
      <c r="G833" s="20" t="n">
        <f aca="false">Monthly!I$32</f>
        <v>0</v>
      </c>
      <c r="H833" s="24" t="str">
        <f aca="false">ScenarioName</f>
        <v>Base</v>
      </c>
    </row>
    <row r="834" customFormat="false" ht="15" hidden="false" customHeight="false" outlineLevel="0" collapsed="false">
      <c r="A834" s="8" t="n">
        <v>5</v>
      </c>
      <c r="B834" s="39" t="n">
        <f aca="false">EDATE(StartDate,A834-1)</f>
        <v>46508</v>
      </c>
      <c r="C834" s="24" t="str">
        <f aca="false">Monthly!$B$32</f>
        <v>EnergyWave, Inc.</v>
      </c>
      <c r="D834" s="24" t="str">
        <f aca="false">Monthly!$C$32</f>
        <v>Equipment</v>
      </c>
      <c r="E834" s="24" t="str">
        <f aca="false">Monthly!$D$32</f>
        <v>Instrumentation</v>
      </c>
      <c r="F834" s="24" t="str">
        <f aca="false">Monthly!$A$32</f>
        <v>Tabletop instrumentation package (calorimeters, power analyzers, precision sources/loads, DAQ, thermal chambers, balances, shielded enclosure, reference standards)</v>
      </c>
      <c r="G834" s="20" t="n">
        <f aca="false">Monthly!J$32</f>
        <v>0</v>
      </c>
      <c r="H834" s="24" t="str">
        <f aca="false">ScenarioName</f>
        <v>Base</v>
      </c>
    </row>
    <row r="835" customFormat="false" ht="15" hidden="false" customHeight="false" outlineLevel="0" collapsed="false">
      <c r="A835" s="8" t="n">
        <v>6</v>
      </c>
      <c r="B835" s="39" t="n">
        <f aca="false">EDATE(StartDate,A835-1)</f>
        <v>46539</v>
      </c>
      <c r="C835" s="24" t="str">
        <f aca="false">Monthly!$B$32</f>
        <v>EnergyWave, Inc.</v>
      </c>
      <c r="D835" s="24" t="str">
        <f aca="false">Monthly!$C$32</f>
        <v>Equipment</v>
      </c>
      <c r="E835" s="24" t="str">
        <f aca="false">Monthly!$D$32</f>
        <v>Instrumentation</v>
      </c>
      <c r="F835" s="24" t="str">
        <f aca="false">Monthly!$A$32</f>
        <v>Tabletop instrumentation package (calorimeters, power analyzers, precision sources/loads, DAQ, thermal chambers, balances, shielded enclosure, reference standards)</v>
      </c>
      <c r="G835" s="20" t="n">
        <f aca="false">Monthly!K$32</f>
        <v>0</v>
      </c>
      <c r="H835" s="24" t="str">
        <f aca="false">ScenarioName</f>
        <v>Base</v>
      </c>
    </row>
    <row r="836" customFormat="false" ht="15" hidden="false" customHeight="false" outlineLevel="0" collapsed="false">
      <c r="A836" s="8" t="n">
        <v>7</v>
      </c>
      <c r="B836" s="39" t="n">
        <f aca="false">EDATE(StartDate,A836-1)</f>
        <v>46569</v>
      </c>
      <c r="C836" s="24" t="str">
        <f aca="false">Monthly!$B$32</f>
        <v>EnergyWave, Inc.</v>
      </c>
      <c r="D836" s="24" t="str">
        <f aca="false">Monthly!$C$32</f>
        <v>Equipment</v>
      </c>
      <c r="E836" s="24" t="str">
        <f aca="false">Monthly!$D$32</f>
        <v>Instrumentation</v>
      </c>
      <c r="F836" s="24" t="str">
        <f aca="false">Monthly!$A$32</f>
        <v>Tabletop instrumentation package (calorimeters, power analyzers, precision sources/loads, DAQ, thermal chambers, balances, shielded enclosure, reference standards)</v>
      </c>
      <c r="G836" s="20" t="n">
        <f aca="false">Monthly!L$32</f>
        <v>0</v>
      </c>
      <c r="H836" s="24" t="str">
        <f aca="false">ScenarioName</f>
        <v>Base</v>
      </c>
    </row>
    <row r="837" customFormat="false" ht="15" hidden="false" customHeight="false" outlineLevel="0" collapsed="false">
      <c r="A837" s="8" t="n">
        <v>8</v>
      </c>
      <c r="B837" s="39" t="n">
        <f aca="false">EDATE(StartDate,A837-1)</f>
        <v>46600</v>
      </c>
      <c r="C837" s="24" t="str">
        <f aca="false">Monthly!$B$32</f>
        <v>EnergyWave, Inc.</v>
      </c>
      <c r="D837" s="24" t="str">
        <f aca="false">Monthly!$C$32</f>
        <v>Equipment</v>
      </c>
      <c r="E837" s="24" t="str">
        <f aca="false">Monthly!$D$32</f>
        <v>Instrumentation</v>
      </c>
      <c r="F837" s="24" t="str">
        <f aca="false">Monthly!$A$32</f>
        <v>Tabletop instrumentation package (calorimeters, power analyzers, precision sources/loads, DAQ, thermal chambers, balances, shielded enclosure, reference standards)</v>
      </c>
      <c r="G837" s="20" t="n">
        <f aca="false">Monthly!M$32</f>
        <v>0</v>
      </c>
      <c r="H837" s="24" t="str">
        <f aca="false">ScenarioName</f>
        <v>Base</v>
      </c>
    </row>
    <row r="838" customFormat="false" ht="15" hidden="false" customHeight="false" outlineLevel="0" collapsed="false">
      <c r="A838" s="8" t="n">
        <v>9</v>
      </c>
      <c r="B838" s="39" t="n">
        <f aca="false">EDATE(StartDate,A838-1)</f>
        <v>46631</v>
      </c>
      <c r="C838" s="24" t="str">
        <f aca="false">Monthly!$B$32</f>
        <v>EnergyWave, Inc.</v>
      </c>
      <c r="D838" s="24" t="str">
        <f aca="false">Monthly!$C$32</f>
        <v>Equipment</v>
      </c>
      <c r="E838" s="24" t="str">
        <f aca="false">Monthly!$D$32</f>
        <v>Instrumentation</v>
      </c>
      <c r="F838" s="24" t="str">
        <f aca="false">Monthly!$A$32</f>
        <v>Tabletop instrumentation package (calorimeters, power analyzers, precision sources/loads, DAQ, thermal chambers, balances, shielded enclosure, reference standards)</v>
      </c>
      <c r="G838" s="20" t="n">
        <f aca="false">Monthly!N$32</f>
        <v>0</v>
      </c>
      <c r="H838" s="24" t="str">
        <f aca="false">ScenarioName</f>
        <v>Base</v>
      </c>
    </row>
    <row r="839" customFormat="false" ht="15" hidden="false" customHeight="false" outlineLevel="0" collapsed="false">
      <c r="A839" s="8" t="n">
        <v>10</v>
      </c>
      <c r="B839" s="39" t="n">
        <f aca="false">EDATE(StartDate,A839-1)</f>
        <v>46661</v>
      </c>
      <c r="C839" s="24" t="str">
        <f aca="false">Monthly!$B$32</f>
        <v>EnergyWave, Inc.</v>
      </c>
      <c r="D839" s="24" t="str">
        <f aca="false">Monthly!$C$32</f>
        <v>Equipment</v>
      </c>
      <c r="E839" s="24" t="str">
        <f aca="false">Monthly!$D$32</f>
        <v>Instrumentation</v>
      </c>
      <c r="F839" s="24" t="str">
        <f aca="false">Monthly!$A$32</f>
        <v>Tabletop instrumentation package (calorimeters, power analyzers, precision sources/loads, DAQ, thermal chambers, balances, shielded enclosure, reference standards)</v>
      </c>
      <c r="G839" s="20" t="n">
        <f aca="false">Monthly!O$32</f>
        <v>0</v>
      </c>
      <c r="H839" s="24" t="str">
        <f aca="false">ScenarioName</f>
        <v>Base</v>
      </c>
    </row>
    <row r="840" customFormat="false" ht="15" hidden="false" customHeight="false" outlineLevel="0" collapsed="false">
      <c r="A840" s="8" t="n">
        <v>11</v>
      </c>
      <c r="B840" s="39" t="n">
        <f aca="false">EDATE(StartDate,A840-1)</f>
        <v>46692</v>
      </c>
      <c r="C840" s="24" t="str">
        <f aca="false">Monthly!$B$32</f>
        <v>EnergyWave, Inc.</v>
      </c>
      <c r="D840" s="24" t="str">
        <f aca="false">Monthly!$C$32</f>
        <v>Equipment</v>
      </c>
      <c r="E840" s="24" t="str">
        <f aca="false">Monthly!$D$32</f>
        <v>Instrumentation</v>
      </c>
      <c r="F840" s="24" t="str">
        <f aca="false">Monthly!$A$32</f>
        <v>Tabletop instrumentation package (calorimeters, power analyzers, precision sources/loads, DAQ, thermal chambers, balances, shielded enclosure, reference standards)</v>
      </c>
      <c r="G840" s="20" t="n">
        <f aca="false">Monthly!P$32</f>
        <v>0</v>
      </c>
      <c r="H840" s="24" t="str">
        <f aca="false">ScenarioName</f>
        <v>Base</v>
      </c>
    </row>
    <row r="841" customFormat="false" ht="15" hidden="false" customHeight="false" outlineLevel="0" collapsed="false">
      <c r="A841" s="8" t="n">
        <v>12</v>
      </c>
      <c r="B841" s="39" t="n">
        <f aca="false">EDATE(StartDate,A841-1)</f>
        <v>46722</v>
      </c>
      <c r="C841" s="24" t="str">
        <f aca="false">Monthly!$B$32</f>
        <v>EnergyWave, Inc.</v>
      </c>
      <c r="D841" s="24" t="str">
        <f aca="false">Monthly!$C$32</f>
        <v>Equipment</v>
      </c>
      <c r="E841" s="24" t="str">
        <f aca="false">Monthly!$D$32</f>
        <v>Instrumentation</v>
      </c>
      <c r="F841" s="24" t="str">
        <f aca="false">Monthly!$A$32</f>
        <v>Tabletop instrumentation package (calorimeters, power analyzers, precision sources/loads, DAQ, thermal chambers, balances, shielded enclosure, reference standards)</v>
      </c>
      <c r="G841" s="20" t="n">
        <f aca="false">Monthly!Q$32</f>
        <v>0</v>
      </c>
      <c r="H841" s="24" t="str">
        <f aca="false">ScenarioName</f>
        <v>Base</v>
      </c>
    </row>
    <row r="842" customFormat="false" ht="15" hidden="false" customHeight="false" outlineLevel="0" collapsed="false">
      <c r="A842" s="8" t="n">
        <v>13</v>
      </c>
      <c r="B842" s="39" t="n">
        <f aca="false">EDATE(StartDate,A842-1)</f>
        <v>46753</v>
      </c>
      <c r="C842" s="24" t="str">
        <f aca="false">Monthly!$B$32</f>
        <v>EnergyWave, Inc.</v>
      </c>
      <c r="D842" s="24" t="str">
        <f aca="false">Monthly!$C$32</f>
        <v>Equipment</v>
      </c>
      <c r="E842" s="24" t="str">
        <f aca="false">Monthly!$D$32</f>
        <v>Instrumentation</v>
      </c>
      <c r="F842" s="24" t="str">
        <f aca="false">Monthly!$A$32</f>
        <v>Tabletop instrumentation package (calorimeters, power analyzers, precision sources/loads, DAQ, thermal chambers, balances, shielded enclosure, reference standards)</v>
      </c>
      <c r="G842" s="20" t="n">
        <f aca="false">Monthly!R$32</f>
        <v>0</v>
      </c>
      <c r="H842" s="24" t="str">
        <f aca="false">ScenarioName</f>
        <v>Base</v>
      </c>
    </row>
    <row r="843" customFormat="false" ht="15" hidden="false" customHeight="false" outlineLevel="0" collapsed="false">
      <c r="A843" s="8" t="n">
        <v>14</v>
      </c>
      <c r="B843" s="39" t="n">
        <f aca="false">EDATE(StartDate,A843-1)</f>
        <v>46784</v>
      </c>
      <c r="C843" s="24" t="str">
        <f aca="false">Monthly!$B$32</f>
        <v>EnergyWave, Inc.</v>
      </c>
      <c r="D843" s="24" t="str">
        <f aca="false">Monthly!$C$32</f>
        <v>Equipment</v>
      </c>
      <c r="E843" s="24" t="str">
        <f aca="false">Monthly!$D$32</f>
        <v>Instrumentation</v>
      </c>
      <c r="F843" s="24" t="str">
        <f aca="false">Monthly!$A$32</f>
        <v>Tabletop instrumentation package (calorimeters, power analyzers, precision sources/loads, DAQ, thermal chambers, balances, shielded enclosure, reference standards)</v>
      </c>
      <c r="G843" s="20" t="n">
        <f aca="false">Monthly!S$32</f>
        <v>0</v>
      </c>
      <c r="H843" s="24" t="str">
        <f aca="false">ScenarioName</f>
        <v>Base</v>
      </c>
    </row>
    <row r="844" customFormat="false" ht="15" hidden="false" customHeight="false" outlineLevel="0" collapsed="false">
      <c r="A844" s="8" t="n">
        <v>15</v>
      </c>
      <c r="B844" s="39" t="n">
        <f aca="false">EDATE(StartDate,A844-1)</f>
        <v>46813</v>
      </c>
      <c r="C844" s="24" t="str">
        <f aca="false">Monthly!$B$32</f>
        <v>EnergyWave, Inc.</v>
      </c>
      <c r="D844" s="24" t="str">
        <f aca="false">Monthly!$C$32</f>
        <v>Equipment</v>
      </c>
      <c r="E844" s="24" t="str">
        <f aca="false">Monthly!$D$32</f>
        <v>Instrumentation</v>
      </c>
      <c r="F844" s="24" t="str">
        <f aca="false">Monthly!$A$32</f>
        <v>Tabletop instrumentation package (calorimeters, power analyzers, precision sources/loads, DAQ, thermal chambers, balances, shielded enclosure, reference standards)</v>
      </c>
      <c r="G844" s="20" t="n">
        <f aca="false">Monthly!T$32</f>
        <v>0</v>
      </c>
      <c r="H844" s="24" t="str">
        <f aca="false">ScenarioName</f>
        <v>Base</v>
      </c>
    </row>
    <row r="845" customFormat="false" ht="15" hidden="false" customHeight="false" outlineLevel="0" collapsed="false">
      <c r="A845" s="8" t="n">
        <v>16</v>
      </c>
      <c r="B845" s="39" t="n">
        <f aca="false">EDATE(StartDate,A845-1)</f>
        <v>46844</v>
      </c>
      <c r="C845" s="24" t="str">
        <f aca="false">Monthly!$B$32</f>
        <v>EnergyWave, Inc.</v>
      </c>
      <c r="D845" s="24" t="str">
        <f aca="false">Monthly!$C$32</f>
        <v>Equipment</v>
      </c>
      <c r="E845" s="24" t="str">
        <f aca="false">Monthly!$D$32</f>
        <v>Instrumentation</v>
      </c>
      <c r="F845" s="24" t="str">
        <f aca="false">Monthly!$A$32</f>
        <v>Tabletop instrumentation package (calorimeters, power analyzers, precision sources/loads, DAQ, thermal chambers, balances, shielded enclosure, reference standards)</v>
      </c>
      <c r="G845" s="20" t="n">
        <f aca="false">Monthly!U$32</f>
        <v>0</v>
      </c>
      <c r="H845" s="24" t="str">
        <f aca="false">ScenarioName</f>
        <v>Base</v>
      </c>
    </row>
    <row r="846" customFormat="false" ht="15" hidden="false" customHeight="false" outlineLevel="0" collapsed="false">
      <c r="A846" s="8" t="n">
        <v>17</v>
      </c>
      <c r="B846" s="39" t="n">
        <f aca="false">EDATE(StartDate,A846-1)</f>
        <v>46874</v>
      </c>
      <c r="C846" s="24" t="str">
        <f aca="false">Monthly!$B$32</f>
        <v>EnergyWave, Inc.</v>
      </c>
      <c r="D846" s="24" t="str">
        <f aca="false">Monthly!$C$32</f>
        <v>Equipment</v>
      </c>
      <c r="E846" s="24" t="str">
        <f aca="false">Monthly!$D$32</f>
        <v>Instrumentation</v>
      </c>
      <c r="F846" s="24" t="str">
        <f aca="false">Monthly!$A$32</f>
        <v>Tabletop instrumentation package (calorimeters, power analyzers, precision sources/loads, DAQ, thermal chambers, balances, shielded enclosure, reference standards)</v>
      </c>
      <c r="G846" s="20" t="n">
        <f aca="false">Monthly!V$32</f>
        <v>0</v>
      </c>
      <c r="H846" s="24" t="str">
        <f aca="false">ScenarioName</f>
        <v>Base</v>
      </c>
    </row>
    <row r="847" customFormat="false" ht="15" hidden="false" customHeight="false" outlineLevel="0" collapsed="false">
      <c r="A847" s="8" t="n">
        <v>18</v>
      </c>
      <c r="B847" s="39" t="n">
        <f aca="false">EDATE(StartDate,A847-1)</f>
        <v>46905</v>
      </c>
      <c r="C847" s="24" t="str">
        <f aca="false">Monthly!$B$32</f>
        <v>EnergyWave, Inc.</v>
      </c>
      <c r="D847" s="24" t="str">
        <f aca="false">Monthly!$C$32</f>
        <v>Equipment</v>
      </c>
      <c r="E847" s="24" t="str">
        <f aca="false">Monthly!$D$32</f>
        <v>Instrumentation</v>
      </c>
      <c r="F847" s="24" t="str">
        <f aca="false">Monthly!$A$32</f>
        <v>Tabletop instrumentation package (calorimeters, power analyzers, precision sources/loads, DAQ, thermal chambers, balances, shielded enclosure, reference standards)</v>
      </c>
      <c r="G847" s="20" t="n">
        <f aca="false">Monthly!W$32</f>
        <v>0</v>
      </c>
      <c r="H847" s="24" t="str">
        <f aca="false">ScenarioName</f>
        <v>Base</v>
      </c>
    </row>
    <row r="848" customFormat="false" ht="15" hidden="false" customHeight="false" outlineLevel="0" collapsed="false">
      <c r="A848" s="8" t="n">
        <v>19</v>
      </c>
      <c r="B848" s="39" t="n">
        <f aca="false">EDATE(StartDate,A848-1)</f>
        <v>46935</v>
      </c>
      <c r="C848" s="24" t="str">
        <f aca="false">Monthly!$B$32</f>
        <v>EnergyWave, Inc.</v>
      </c>
      <c r="D848" s="24" t="str">
        <f aca="false">Monthly!$C$32</f>
        <v>Equipment</v>
      </c>
      <c r="E848" s="24" t="str">
        <f aca="false">Monthly!$D$32</f>
        <v>Instrumentation</v>
      </c>
      <c r="F848" s="24" t="str">
        <f aca="false">Monthly!$A$32</f>
        <v>Tabletop instrumentation package (calorimeters, power analyzers, precision sources/loads, DAQ, thermal chambers, balances, shielded enclosure, reference standards)</v>
      </c>
      <c r="G848" s="20" t="n">
        <f aca="false">Monthly!X$32</f>
        <v>0</v>
      </c>
      <c r="H848" s="24" t="str">
        <f aca="false">ScenarioName</f>
        <v>Base</v>
      </c>
    </row>
    <row r="849" customFormat="false" ht="15" hidden="false" customHeight="false" outlineLevel="0" collapsed="false">
      <c r="A849" s="8" t="n">
        <v>20</v>
      </c>
      <c r="B849" s="39" t="n">
        <f aca="false">EDATE(StartDate,A849-1)</f>
        <v>46966</v>
      </c>
      <c r="C849" s="24" t="str">
        <f aca="false">Monthly!$B$32</f>
        <v>EnergyWave, Inc.</v>
      </c>
      <c r="D849" s="24" t="str">
        <f aca="false">Monthly!$C$32</f>
        <v>Equipment</v>
      </c>
      <c r="E849" s="24" t="str">
        <f aca="false">Monthly!$D$32</f>
        <v>Instrumentation</v>
      </c>
      <c r="F849" s="24" t="str">
        <f aca="false">Monthly!$A$32</f>
        <v>Tabletop instrumentation package (calorimeters, power analyzers, precision sources/loads, DAQ, thermal chambers, balances, shielded enclosure, reference standards)</v>
      </c>
      <c r="G849" s="20" t="n">
        <f aca="false">Monthly!Y$32</f>
        <v>0</v>
      </c>
      <c r="H849" s="24" t="str">
        <f aca="false">ScenarioName</f>
        <v>Base</v>
      </c>
    </row>
    <row r="850" customFormat="false" ht="15" hidden="false" customHeight="false" outlineLevel="0" collapsed="false">
      <c r="A850" s="8" t="n">
        <v>21</v>
      </c>
      <c r="B850" s="39" t="n">
        <f aca="false">EDATE(StartDate,A850-1)</f>
        <v>46997</v>
      </c>
      <c r="C850" s="24" t="str">
        <f aca="false">Monthly!$B$32</f>
        <v>EnergyWave, Inc.</v>
      </c>
      <c r="D850" s="24" t="str">
        <f aca="false">Monthly!$C$32</f>
        <v>Equipment</v>
      </c>
      <c r="E850" s="24" t="str">
        <f aca="false">Monthly!$D$32</f>
        <v>Instrumentation</v>
      </c>
      <c r="F850" s="24" t="str">
        <f aca="false">Monthly!$A$32</f>
        <v>Tabletop instrumentation package (calorimeters, power analyzers, precision sources/loads, DAQ, thermal chambers, balances, shielded enclosure, reference standards)</v>
      </c>
      <c r="G850" s="20" t="n">
        <f aca="false">Monthly!Z$32</f>
        <v>0</v>
      </c>
      <c r="H850" s="24" t="str">
        <f aca="false">ScenarioName</f>
        <v>Base</v>
      </c>
    </row>
    <row r="851" customFormat="false" ht="15" hidden="false" customHeight="false" outlineLevel="0" collapsed="false">
      <c r="A851" s="8" t="n">
        <v>22</v>
      </c>
      <c r="B851" s="39" t="n">
        <f aca="false">EDATE(StartDate,A851-1)</f>
        <v>47027</v>
      </c>
      <c r="C851" s="24" t="str">
        <f aca="false">Monthly!$B$32</f>
        <v>EnergyWave, Inc.</v>
      </c>
      <c r="D851" s="24" t="str">
        <f aca="false">Monthly!$C$32</f>
        <v>Equipment</v>
      </c>
      <c r="E851" s="24" t="str">
        <f aca="false">Monthly!$D$32</f>
        <v>Instrumentation</v>
      </c>
      <c r="F851" s="24" t="str">
        <f aca="false">Monthly!$A$32</f>
        <v>Tabletop instrumentation package (calorimeters, power analyzers, precision sources/loads, DAQ, thermal chambers, balances, shielded enclosure, reference standards)</v>
      </c>
      <c r="G851" s="20" t="n">
        <f aca="false">Monthly!AA$32</f>
        <v>0</v>
      </c>
      <c r="H851" s="24" t="str">
        <f aca="false">ScenarioName</f>
        <v>Base</v>
      </c>
    </row>
    <row r="852" customFormat="false" ht="15" hidden="false" customHeight="false" outlineLevel="0" collapsed="false">
      <c r="A852" s="8" t="n">
        <v>23</v>
      </c>
      <c r="B852" s="39" t="n">
        <f aca="false">EDATE(StartDate,A852-1)</f>
        <v>47058</v>
      </c>
      <c r="C852" s="24" t="str">
        <f aca="false">Monthly!$B$32</f>
        <v>EnergyWave, Inc.</v>
      </c>
      <c r="D852" s="24" t="str">
        <f aca="false">Monthly!$C$32</f>
        <v>Equipment</v>
      </c>
      <c r="E852" s="24" t="str">
        <f aca="false">Monthly!$D$32</f>
        <v>Instrumentation</v>
      </c>
      <c r="F852" s="24" t="str">
        <f aca="false">Monthly!$A$32</f>
        <v>Tabletop instrumentation package (calorimeters, power analyzers, precision sources/loads, DAQ, thermal chambers, balances, shielded enclosure, reference standards)</v>
      </c>
      <c r="G852" s="20" t="n">
        <f aca="false">Monthly!AB$32</f>
        <v>0</v>
      </c>
      <c r="H852" s="24" t="str">
        <f aca="false">ScenarioName</f>
        <v>Base</v>
      </c>
    </row>
    <row r="853" customFormat="false" ht="15" hidden="false" customHeight="false" outlineLevel="0" collapsed="false">
      <c r="A853" s="8" t="n">
        <v>24</v>
      </c>
      <c r="B853" s="39" t="n">
        <f aca="false">EDATE(StartDate,A853-1)</f>
        <v>47088</v>
      </c>
      <c r="C853" s="24" t="str">
        <f aca="false">Monthly!$B$32</f>
        <v>EnergyWave, Inc.</v>
      </c>
      <c r="D853" s="24" t="str">
        <f aca="false">Monthly!$C$32</f>
        <v>Equipment</v>
      </c>
      <c r="E853" s="24" t="str">
        <f aca="false">Monthly!$D$32</f>
        <v>Instrumentation</v>
      </c>
      <c r="F853" s="24" t="str">
        <f aca="false">Monthly!$A$32</f>
        <v>Tabletop instrumentation package (calorimeters, power analyzers, precision sources/loads, DAQ, thermal chambers, balances, shielded enclosure, reference standards)</v>
      </c>
      <c r="G853" s="20" t="n">
        <f aca="false">Monthly!AC$32</f>
        <v>0</v>
      </c>
      <c r="H853" s="24" t="str">
        <f aca="false">ScenarioName</f>
        <v>Base</v>
      </c>
    </row>
    <row r="854" customFormat="false" ht="15" hidden="false" customHeight="false" outlineLevel="0" collapsed="false">
      <c r="A854" s="8" t="n">
        <v>25</v>
      </c>
      <c r="B854" s="39" t="n">
        <f aca="false">EDATE(StartDate,A854-1)</f>
        <v>47119</v>
      </c>
      <c r="C854" s="24" t="str">
        <f aca="false">Monthly!$B$32</f>
        <v>EnergyWave, Inc.</v>
      </c>
      <c r="D854" s="24" t="str">
        <f aca="false">Monthly!$C$32</f>
        <v>Equipment</v>
      </c>
      <c r="E854" s="24" t="str">
        <f aca="false">Monthly!$D$32</f>
        <v>Instrumentation</v>
      </c>
      <c r="F854" s="24" t="str">
        <f aca="false">Monthly!$A$32</f>
        <v>Tabletop instrumentation package (calorimeters, power analyzers, precision sources/loads, DAQ, thermal chambers, balances, shielded enclosure, reference standards)</v>
      </c>
      <c r="G854" s="20" t="n">
        <f aca="false">Monthly!AD$32</f>
        <v>0</v>
      </c>
      <c r="H854" s="24" t="str">
        <f aca="false">ScenarioName</f>
        <v>Base</v>
      </c>
    </row>
    <row r="855" customFormat="false" ht="15" hidden="false" customHeight="false" outlineLevel="0" collapsed="false">
      <c r="A855" s="8" t="n">
        <v>26</v>
      </c>
      <c r="B855" s="39" t="n">
        <f aca="false">EDATE(StartDate,A855-1)</f>
        <v>47150</v>
      </c>
      <c r="C855" s="24" t="str">
        <f aca="false">Monthly!$B$32</f>
        <v>EnergyWave, Inc.</v>
      </c>
      <c r="D855" s="24" t="str">
        <f aca="false">Monthly!$C$32</f>
        <v>Equipment</v>
      </c>
      <c r="E855" s="24" t="str">
        <f aca="false">Monthly!$D$32</f>
        <v>Instrumentation</v>
      </c>
      <c r="F855" s="24" t="str">
        <f aca="false">Monthly!$A$32</f>
        <v>Tabletop instrumentation package (calorimeters, power analyzers, precision sources/loads, DAQ, thermal chambers, balances, shielded enclosure, reference standards)</v>
      </c>
      <c r="G855" s="20" t="n">
        <f aca="false">Monthly!AE$32</f>
        <v>0</v>
      </c>
      <c r="H855" s="24" t="str">
        <f aca="false">ScenarioName</f>
        <v>Base</v>
      </c>
    </row>
    <row r="856" customFormat="false" ht="15" hidden="false" customHeight="false" outlineLevel="0" collapsed="false">
      <c r="A856" s="8" t="n">
        <v>27</v>
      </c>
      <c r="B856" s="39" t="n">
        <f aca="false">EDATE(StartDate,A856-1)</f>
        <v>47178</v>
      </c>
      <c r="C856" s="24" t="str">
        <f aca="false">Monthly!$B$32</f>
        <v>EnergyWave, Inc.</v>
      </c>
      <c r="D856" s="24" t="str">
        <f aca="false">Monthly!$C$32</f>
        <v>Equipment</v>
      </c>
      <c r="E856" s="24" t="str">
        <f aca="false">Monthly!$D$32</f>
        <v>Instrumentation</v>
      </c>
      <c r="F856" s="24" t="str">
        <f aca="false">Monthly!$A$32</f>
        <v>Tabletop instrumentation package (calorimeters, power analyzers, precision sources/loads, DAQ, thermal chambers, balances, shielded enclosure, reference standards)</v>
      </c>
      <c r="G856" s="20" t="n">
        <f aca="false">Monthly!AF$32</f>
        <v>0</v>
      </c>
      <c r="H856" s="24" t="str">
        <f aca="false">ScenarioName</f>
        <v>Base</v>
      </c>
    </row>
    <row r="857" customFormat="false" ht="15" hidden="false" customHeight="false" outlineLevel="0" collapsed="false">
      <c r="A857" s="8" t="n">
        <v>28</v>
      </c>
      <c r="B857" s="39" t="n">
        <f aca="false">EDATE(StartDate,A857-1)</f>
        <v>47209</v>
      </c>
      <c r="C857" s="24" t="str">
        <f aca="false">Monthly!$B$32</f>
        <v>EnergyWave, Inc.</v>
      </c>
      <c r="D857" s="24" t="str">
        <f aca="false">Monthly!$C$32</f>
        <v>Equipment</v>
      </c>
      <c r="E857" s="24" t="str">
        <f aca="false">Monthly!$D$32</f>
        <v>Instrumentation</v>
      </c>
      <c r="F857" s="24" t="str">
        <f aca="false">Monthly!$A$32</f>
        <v>Tabletop instrumentation package (calorimeters, power analyzers, precision sources/loads, DAQ, thermal chambers, balances, shielded enclosure, reference standards)</v>
      </c>
      <c r="G857" s="20" t="n">
        <f aca="false">Monthly!AG$32</f>
        <v>0</v>
      </c>
      <c r="H857" s="24" t="str">
        <f aca="false">ScenarioName</f>
        <v>Base</v>
      </c>
    </row>
    <row r="858" customFormat="false" ht="15" hidden="false" customHeight="false" outlineLevel="0" collapsed="false">
      <c r="A858" s="8" t="n">
        <v>29</v>
      </c>
      <c r="B858" s="39" t="n">
        <f aca="false">EDATE(StartDate,A858-1)</f>
        <v>47239</v>
      </c>
      <c r="C858" s="24" t="str">
        <f aca="false">Monthly!$B$32</f>
        <v>EnergyWave, Inc.</v>
      </c>
      <c r="D858" s="24" t="str">
        <f aca="false">Monthly!$C$32</f>
        <v>Equipment</v>
      </c>
      <c r="E858" s="24" t="str">
        <f aca="false">Monthly!$D$32</f>
        <v>Instrumentation</v>
      </c>
      <c r="F858" s="24" t="str">
        <f aca="false">Monthly!$A$32</f>
        <v>Tabletop instrumentation package (calorimeters, power analyzers, precision sources/loads, DAQ, thermal chambers, balances, shielded enclosure, reference standards)</v>
      </c>
      <c r="G858" s="20" t="n">
        <f aca="false">Monthly!AH$32</f>
        <v>0</v>
      </c>
      <c r="H858" s="24" t="str">
        <f aca="false">ScenarioName</f>
        <v>Base</v>
      </c>
    </row>
    <row r="859" customFormat="false" ht="15" hidden="false" customHeight="false" outlineLevel="0" collapsed="false">
      <c r="A859" s="8" t="n">
        <v>30</v>
      </c>
      <c r="B859" s="39" t="n">
        <f aca="false">EDATE(StartDate,A859-1)</f>
        <v>47270</v>
      </c>
      <c r="C859" s="24" t="str">
        <f aca="false">Monthly!$B$32</f>
        <v>EnergyWave, Inc.</v>
      </c>
      <c r="D859" s="24" t="str">
        <f aca="false">Monthly!$C$32</f>
        <v>Equipment</v>
      </c>
      <c r="E859" s="24" t="str">
        <f aca="false">Monthly!$D$32</f>
        <v>Instrumentation</v>
      </c>
      <c r="F859" s="24" t="str">
        <f aca="false">Monthly!$A$32</f>
        <v>Tabletop instrumentation package (calorimeters, power analyzers, precision sources/loads, DAQ, thermal chambers, balances, shielded enclosure, reference standards)</v>
      </c>
      <c r="G859" s="20" t="n">
        <f aca="false">Monthly!AI$32</f>
        <v>0</v>
      </c>
      <c r="H859" s="24" t="str">
        <f aca="false">ScenarioName</f>
        <v>Base</v>
      </c>
    </row>
    <row r="860" customFormat="false" ht="15" hidden="false" customHeight="false" outlineLevel="0" collapsed="false">
      <c r="A860" s="8" t="n">
        <v>31</v>
      </c>
      <c r="B860" s="39" t="n">
        <f aca="false">EDATE(StartDate,A860-1)</f>
        <v>47300</v>
      </c>
      <c r="C860" s="24" t="str">
        <f aca="false">Monthly!$B$32</f>
        <v>EnergyWave, Inc.</v>
      </c>
      <c r="D860" s="24" t="str">
        <f aca="false">Monthly!$C$32</f>
        <v>Equipment</v>
      </c>
      <c r="E860" s="24" t="str">
        <f aca="false">Monthly!$D$32</f>
        <v>Instrumentation</v>
      </c>
      <c r="F860" s="24" t="str">
        <f aca="false">Monthly!$A$32</f>
        <v>Tabletop instrumentation package (calorimeters, power analyzers, precision sources/loads, DAQ, thermal chambers, balances, shielded enclosure, reference standards)</v>
      </c>
      <c r="G860" s="20" t="n">
        <f aca="false">Monthly!AJ$32</f>
        <v>0</v>
      </c>
      <c r="H860" s="24" t="str">
        <f aca="false">ScenarioName</f>
        <v>Base</v>
      </c>
    </row>
    <row r="861" customFormat="false" ht="15" hidden="false" customHeight="false" outlineLevel="0" collapsed="false">
      <c r="A861" s="8" t="n">
        <v>32</v>
      </c>
      <c r="B861" s="39" t="n">
        <f aca="false">EDATE(StartDate,A861-1)</f>
        <v>47331</v>
      </c>
      <c r="C861" s="24" t="str">
        <f aca="false">Monthly!$B$32</f>
        <v>EnergyWave, Inc.</v>
      </c>
      <c r="D861" s="24" t="str">
        <f aca="false">Monthly!$C$32</f>
        <v>Equipment</v>
      </c>
      <c r="E861" s="24" t="str">
        <f aca="false">Monthly!$D$32</f>
        <v>Instrumentation</v>
      </c>
      <c r="F861" s="24" t="str">
        <f aca="false">Monthly!$A$32</f>
        <v>Tabletop instrumentation package (calorimeters, power analyzers, precision sources/loads, DAQ, thermal chambers, balances, shielded enclosure, reference standards)</v>
      </c>
      <c r="G861" s="20" t="n">
        <f aca="false">Monthly!AK$32</f>
        <v>0</v>
      </c>
      <c r="H861" s="24" t="str">
        <f aca="false">ScenarioName</f>
        <v>Base</v>
      </c>
    </row>
    <row r="862" customFormat="false" ht="15" hidden="false" customHeight="false" outlineLevel="0" collapsed="false">
      <c r="A862" s="8" t="n">
        <v>33</v>
      </c>
      <c r="B862" s="39" t="n">
        <f aca="false">EDATE(StartDate,A862-1)</f>
        <v>47362</v>
      </c>
      <c r="C862" s="24" t="str">
        <f aca="false">Monthly!$B$32</f>
        <v>EnergyWave, Inc.</v>
      </c>
      <c r="D862" s="24" t="str">
        <f aca="false">Monthly!$C$32</f>
        <v>Equipment</v>
      </c>
      <c r="E862" s="24" t="str">
        <f aca="false">Monthly!$D$32</f>
        <v>Instrumentation</v>
      </c>
      <c r="F862" s="24" t="str">
        <f aca="false">Monthly!$A$32</f>
        <v>Tabletop instrumentation package (calorimeters, power analyzers, precision sources/loads, DAQ, thermal chambers, balances, shielded enclosure, reference standards)</v>
      </c>
      <c r="G862" s="20" t="n">
        <f aca="false">Monthly!AL$32</f>
        <v>0</v>
      </c>
      <c r="H862" s="24" t="str">
        <f aca="false">ScenarioName</f>
        <v>Base</v>
      </c>
    </row>
    <row r="863" customFormat="false" ht="15" hidden="false" customHeight="false" outlineLevel="0" collapsed="false">
      <c r="A863" s="8" t="n">
        <v>34</v>
      </c>
      <c r="B863" s="39" t="n">
        <f aca="false">EDATE(StartDate,A863-1)</f>
        <v>47392</v>
      </c>
      <c r="C863" s="24" t="str">
        <f aca="false">Monthly!$B$32</f>
        <v>EnergyWave, Inc.</v>
      </c>
      <c r="D863" s="24" t="str">
        <f aca="false">Monthly!$C$32</f>
        <v>Equipment</v>
      </c>
      <c r="E863" s="24" t="str">
        <f aca="false">Monthly!$D$32</f>
        <v>Instrumentation</v>
      </c>
      <c r="F863" s="24" t="str">
        <f aca="false">Monthly!$A$32</f>
        <v>Tabletop instrumentation package (calorimeters, power analyzers, precision sources/loads, DAQ, thermal chambers, balances, shielded enclosure, reference standards)</v>
      </c>
      <c r="G863" s="20" t="n">
        <f aca="false">Monthly!AM$32</f>
        <v>0</v>
      </c>
      <c r="H863" s="24" t="str">
        <f aca="false">ScenarioName</f>
        <v>Base</v>
      </c>
    </row>
    <row r="864" customFormat="false" ht="15" hidden="false" customHeight="false" outlineLevel="0" collapsed="false">
      <c r="A864" s="8" t="n">
        <v>35</v>
      </c>
      <c r="B864" s="39" t="n">
        <f aca="false">EDATE(StartDate,A864-1)</f>
        <v>47423</v>
      </c>
      <c r="C864" s="24" t="str">
        <f aca="false">Monthly!$B$32</f>
        <v>EnergyWave, Inc.</v>
      </c>
      <c r="D864" s="24" t="str">
        <f aca="false">Monthly!$C$32</f>
        <v>Equipment</v>
      </c>
      <c r="E864" s="24" t="str">
        <f aca="false">Monthly!$D$32</f>
        <v>Instrumentation</v>
      </c>
      <c r="F864" s="24" t="str">
        <f aca="false">Monthly!$A$32</f>
        <v>Tabletop instrumentation package (calorimeters, power analyzers, precision sources/loads, DAQ, thermal chambers, balances, shielded enclosure, reference standards)</v>
      </c>
      <c r="G864" s="20" t="n">
        <f aca="false">Monthly!AN$32</f>
        <v>0</v>
      </c>
      <c r="H864" s="24" t="str">
        <f aca="false">ScenarioName</f>
        <v>Base</v>
      </c>
    </row>
    <row r="865" customFormat="false" ht="15" hidden="false" customHeight="false" outlineLevel="0" collapsed="false">
      <c r="A865" s="8" t="n">
        <v>36</v>
      </c>
      <c r="B865" s="39" t="n">
        <f aca="false">EDATE(StartDate,A865-1)</f>
        <v>47453</v>
      </c>
      <c r="C865" s="24" t="str">
        <f aca="false">Monthly!$B$32</f>
        <v>EnergyWave, Inc.</v>
      </c>
      <c r="D865" s="24" t="str">
        <f aca="false">Monthly!$C$32</f>
        <v>Equipment</v>
      </c>
      <c r="E865" s="24" t="str">
        <f aca="false">Monthly!$D$32</f>
        <v>Instrumentation</v>
      </c>
      <c r="F865" s="24" t="str">
        <f aca="false">Monthly!$A$32</f>
        <v>Tabletop instrumentation package (calorimeters, power analyzers, precision sources/loads, DAQ, thermal chambers, balances, shielded enclosure, reference standards)</v>
      </c>
      <c r="G865" s="20" t="n">
        <f aca="false">Monthly!AO$32</f>
        <v>0</v>
      </c>
      <c r="H865" s="24" t="str">
        <f aca="false">ScenarioName</f>
        <v>Base</v>
      </c>
    </row>
    <row r="866" customFormat="false" ht="15" hidden="false" customHeight="false" outlineLevel="0" collapsed="false">
      <c r="A866" s="8" t="n">
        <v>1</v>
      </c>
      <c r="B866" s="39" t="n">
        <f aca="false">EDATE(StartDate,A866-1)</f>
        <v>46388</v>
      </c>
      <c r="C866" s="24" t="str">
        <f aca="false">Monthly!$B$33</f>
        <v>EnergyWave, Inc.</v>
      </c>
      <c r="D866" s="24" t="str">
        <f aca="false">Monthly!$C$33</f>
        <v>Equipment</v>
      </c>
      <c r="E866" s="24" t="str">
        <f aca="false">Monthly!$D$33</f>
        <v>Calibration</v>
      </c>
      <c r="F866" s="24" t="str">
        <f aca="false">Monthly!$A$33</f>
        <v>Calibration &amp; metrology services</v>
      </c>
      <c r="G866" s="20" t="n">
        <f aca="false">Monthly!F$33</f>
        <v>0</v>
      </c>
      <c r="H866" s="24" t="str">
        <f aca="false">ScenarioName</f>
        <v>Base</v>
      </c>
    </row>
    <row r="867" customFormat="false" ht="15" hidden="false" customHeight="false" outlineLevel="0" collapsed="false">
      <c r="A867" s="8" t="n">
        <v>2</v>
      </c>
      <c r="B867" s="39" t="n">
        <f aca="false">EDATE(StartDate,A867-1)</f>
        <v>46419</v>
      </c>
      <c r="C867" s="24" t="str">
        <f aca="false">Monthly!$B$33</f>
        <v>EnergyWave, Inc.</v>
      </c>
      <c r="D867" s="24" t="str">
        <f aca="false">Monthly!$C$33</f>
        <v>Equipment</v>
      </c>
      <c r="E867" s="24" t="str">
        <f aca="false">Monthly!$D$33</f>
        <v>Calibration</v>
      </c>
      <c r="F867" s="24" t="str">
        <f aca="false">Monthly!$A$33</f>
        <v>Calibration &amp; metrology services</v>
      </c>
      <c r="G867" s="20" t="n">
        <f aca="false">Monthly!G$33</f>
        <v>0</v>
      </c>
      <c r="H867" s="24" t="str">
        <f aca="false">ScenarioName</f>
        <v>Base</v>
      </c>
    </row>
    <row r="868" customFormat="false" ht="15" hidden="false" customHeight="false" outlineLevel="0" collapsed="false">
      <c r="A868" s="8" t="n">
        <v>3</v>
      </c>
      <c r="B868" s="39" t="n">
        <f aca="false">EDATE(StartDate,A868-1)</f>
        <v>46447</v>
      </c>
      <c r="C868" s="24" t="str">
        <f aca="false">Monthly!$B$33</f>
        <v>EnergyWave, Inc.</v>
      </c>
      <c r="D868" s="24" t="str">
        <f aca="false">Monthly!$C$33</f>
        <v>Equipment</v>
      </c>
      <c r="E868" s="24" t="str">
        <f aca="false">Monthly!$D$33</f>
        <v>Calibration</v>
      </c>
      <c r="F868" s="24" t="str">
        <f aca="false">Monthly!$A$33</f>
        <v>Calibration &amp; metrology services</v>
      </c>
      <c r="G868" s="20" t="n">
        <f aca="false">Monthly!H$33</f>
        <v>2500</v>
      </c>
      <c r="H868" s="24" t="str">
        <f aca="false">ScenarioName</f>
        <v>Base</v>
      </c>
    </row>
    <row r="869" customFormat="false" ht="15" hidden="false" customHeight="false" outlineLevel="0" collapsed="false">
      <c r="A869" s="8" t="n">
        <v>4</v>
      </c>
      <c r="B869" s="39" t="n">
        <f aca="false">EDATE(StartDate,A869-1)</f>
        <v>46478</v>
      </c>
      <c r="C869" s="24" t="str">
        <f aca="false">Monthly!$B$33</f>
        <v>EnergyWave, Inc.</v>
      </c>
      <c r="D869" s="24" t="str">
        <f aca="false">Monthly!$C$33</f>
        <v>Equipment</v>
      </c>
      <c r="E869" s="24" t="str">
        <f aca="false">Monthly!$D$33</f>
        <v>Calibration</v>
      </c>
      <c r="F869" s="24" t="str">
        <f aca="false">Monthly!$A$33</f>
        <v>Calibration &amp; metrology services</v>
      </c>
      <c r="G869" s="20" t="n">
        <f aca="false">Monthly!I$33</f>
        <v>2500</v>
      </c>
      <c r="H869" s="24" t="str">
        <f aca="false">ScenarioName</f>
        <v>Base</v>
      </c>
    </row>
    <row r="870" customFormat="false" ht="15" hidden="false" customHeight="false" outlineLevel="0" collapsed="false">
      <c r="A870" s="8" t="n">
        <v>5</v>
      </c>
      <c r="B870" s="39" t="n">
        <f aca="false">EDATE(StartDate,A870-1)</f>
        <v>46508</v>
      </c>
      <c r="C870" s="24" t="str">
        <f aca="false">Monthly!$B$33</f>
        <v>EnergyWave, Inc.</v>
      </c>
      <c r="D870" s="24" t="str">
        <f aca="false">Monthly!$C$33</f>
        <v>Equipment</v>
      </c>
      <c r="E870" s="24" t="str">
        <f aca="false">Monthly!$D$33</f>
        <v>Calibration</v>
      </c>
      <c r="F870" s="24" t="str">
        <f aca="false">Monthly!$A$33</f>
        <v>Calibration &amp; metrology services</v>
      </c>
      <c r="G870" s="20" t="n">
        <f aca="false">Monthly!J$33</f>
        <v>2500</v>
      </c>
      <c r="H870" s="24" t="str">
        <f aca="false">ScenarioName</f>
        <v>Base</v>
      </c>
    </row>
    <row r="871" customFormat="false" ht="15" hidden="false" customHeight="false" outlineLevel="0" collapsed="false">
      <c r="A871" s="8" t="n">
        <v>6</v>
      </c>
      <c r="B871" s="39" t="n">
        <f aca="false">EDATE(StartDate,A871-1)</f>
        <v>46539</v>
      </c>
      <c r="C871" s="24" t="str">
        <f aca="false">Monthly!$B$33</f>
        <v>EnergyWave, Inc.</v>
      </c>
      <c r="D871" s="24" t="str">
        <f aca="false">Monthly!$C$33</f>
        <v>Equipment</v>
      </c>
      <c r="E871" s="24" t="str">
        <f aca="false">Monthly!$D$33</f>
        <v>Calibration</v>
      </c>
      <c r="F871" s="24" t="str">
        <f aca="false">Monthly!$A$33</f>
        <v>Calibration &amp; metrology services</v>
      </c>
      <c r="G871" s="20" t="n">
        <f aca="false">Monthly!K$33</f>
        <v>2500</v>
      </c>
      <c r="H871" s="24" t="str">
        <f aca="false">ScenarioName</f>
        <v>Base</v>
      </c>
    </row>
    <row r="872" customFormat="false" ht="15" hidden="false" customHeight="false" outlineLevel="0" collapsed="false">
      <c r="A872" s="8" t="n">
        <v>7</v>
      </c>
      <c r="B872" s="39" t="n">
        <f aca="false">EDATE(StartDate,A872-1)</f>
        <v>46569</v>
      </c>
      <c r="C872" s="24" t="str">
        <f aca="false">Monthly!$B$33</f>
        <v>EnergyWave, Inc.</v>
      </c>
      <c r="D872" s="24" t="str">
        <f aca="false">Monthly!$C$33</f>
        <v>Equipment</v>
      </c>
      <c r="E872" s="24" t="str">
        <f aca="false">Monthly!$D$33</f>
        <v>Calibration</v>
      </c>
      <c r="F872" s="24" t="str">
        <f aca="false">Monthly!$A$33</f>
        <v>Calibration &amp; metrology services</v>
      </c>
      <c r="G872" s="20" t="n">
        <f aca="false">Monthly!L$33</f>
        <v>2500</v>
      </c>
      <c r="H872" s="24" t="str">
        <f aca="false">ScenarioName</f>
        <v>Base</v>
      </c>
    </row>
    <row r="873" customFormat="false" ht="15" hidden="false" customHeight="false" outlineLevel="0" collapsed="false">
      <c r="A873" s="8" t="n">
        <v>8</v>
      </c>
      <c r="B873" s="39" t="n">
        <f aca="false">EDATE(StartDate,A873-1)</f>
        <v>46600</v>
      </c>
      <c r="C873" s="24" t="str">
        <f aca="false">Monthly!$B$33</f>
        <v>EnergyWave, Inc.</v>
      </c>
      <c r="D873" s="24" t="str">
        <f aca="false">Monthly!$C$33</f>
        <v>Equipment</v>
      </c>
      <c r="E873" s="24" t="str">
        <f aca="false">Monthly!$D$33</f>
        <v>Calibration</v>
      </c>
      <c r="F873" s="24" t="str">
        <f aca="false">Monthly!$A$33</f>
        <v>Calibration &amp; metrology services</v>
      </c>
      <c r="G873" s="20" t="n">
        <f aca="false">Monthly!M$33</f>
        <v>2500</v>
      </c>
      <c r="H873" s="24" t="str">
        <f aca="false">ScenarioName</f>
        <v>Base</v>
      </c>
    </row>
    <row r="874" customFormat="false" ht="15" hidden="false" customHeight="false" outlineLevel="0" collapsed="false">
      <c r="A874" s="8" t="n">
        <v>9</v>
      </c>
      <c r="B874" s="39" t="n">
        <f aca="false">EDATE(StartDate,A874-1)</f>
        <v>46631</v>
      </c>
      <c r="C874" s="24" t="str">
        <f aca="false">Monthly!$B$33</f>
        <v>EnergyWave, Inc.</v>
      </c>
      <c r="D874" s="24" t="str">
        <f aca="false">Monthly!$C$33</f>
        <v>Equipment</v>
      </c>
      <c r="E874" s="24" t="str">
        <f aca="false">Monthly!$D$33</f>
        <v>Calibration</v>
      </c>
      <c r="F874" s="24" t="str">
        <f aca="false">Monthly!$A$33</f>
        <v>Calibration &amp; metrology services</v>
      </c>
      <c r="G874" s="20" t="n">
        <f aca="false">Monthly!N$33</f>
        <v>2500</v>
      </c>
      <c r="H874" s="24" t="str">
        <f aca="false">ScenarioName</f>
        <v>Base</v>
      </c>
    </row>
    <row r="875" customFormat="false" ht="15" hidden="false" customHeight="false" outlineLevel="0" collapsed="false">
      <c r="A875" s="8" t="n">
        <v>10</v>
      </c>
      <c r="B875" s="39" t="n">
        <f aca="false">EDATE(StartDate,A875-1)</f>
        <v>46661</v>
      </c>
      <c r="C875" s="24" t="str">
        <f aca="false">Monthly!$B$33</f>
        <v>EnergyWave, Inc.</v>
      </c>
      <c r="D875" s="24" t="str">
        <f aca="false">Monthly!$C$33</f>
        <v>Equipment</v>
      </c>
      <c r="E875" s="24" t="str">
        <f aca="false">Monthly!$D$33</f>
        <v>Calibration</v>
      </c>
      <c r="F875" s="24" t="str">
        <f aca="false">Monthly!$A$33</f>
        <v>Calibration &amp; metrology services</v>
      </c>
      <c r="G875" s="20" t="n">
        <f aca="false">Monthly!O$33</f>
        <v>2500</v>
      </c>
      <c r="H875" s="24" t="str">
        <f aca="false">ScenarioName</f>
        <v>Base</v>
      </c>
    </row>
    <row r="876" customFormat="false" ht="15" hidden="false" customHeight="false" outlineLevel="0" collapsed="false">
      <c r="A876" s="8" t="n">
        <v>11</v>
      </c>
      <c r="B876" s="39" t="n">
        <f aca="false">EDATE(StartDate,A876-1)</f>
        <v>46692</v>
      </c>
      <c r="C876" s="24" t="str">
        <f aca="false">Monthly!$B$33</f>
        <v>EnergyWave, Inc.</v>
      </c>
      <c r="D876" s="24" t="str">
        <f aca="false">Monthly!$C$33</f>
        <v>Equipment</v>
      </c>
      <c r="E876" s="24" t="str">
        <f aca="false">Monthly!$D$33</f>
        <v>Calibration</v>
      </c>
      <c r="F876" s="24" t="str">
        <f aca="false">Monthly!$A$33</f>
        <v>Calibration &amp; metrology services</v>
      </c>
      <c r="G876" s="20" t="n">
        <f aca="false">Monthly!P$33</f>
        <v>2500</v>
      </c>
      <c r="H876" s="24" t="str">
        <f aca="false">ScenarioName</f>
        <v>Base</v>
      </c>
    </row>
    <row r="877" customFormat="false" ht="15" hidden="false" customHeight="false" outlineLevel="0" collapsed="false">
      <c r="A877" s="8" t="n">
        <v>12</v>
      </c>
      <c r="B877" s="39" t="n">
        <f aca="false">EDATE(StartDate,A877-1)</f>
        <v>46722</v>
      </c>
      <c r="C877" s="24" t="str">
        <f aca="false">Monthly!$B$33</f>
        <v>EnergyWave, Inc.</v>
      </c>
      <c r="D877" s="24" t="str">
        <f aca="false">Monthly!$C$33</f>
        <v>Equipment</v>
      </c>
      <c r="E877" s="24" t="str">
        <f aca="false">Monthly!$D$33</f>
        <v>Calibration</v>
      </c>
      <c r="F877" s="24" t="str">
        <f aca="false">Monthly!$A$33</f>
        <v>Calibration &amp; metrology services</v>
      </c>
      <c r="G877" s="20" t="n">
        <f aca="false">Monthly!Q$33</f>
        <v>2500</v>
      </c>
      <c r="H877" s="24" t="str">
        <f aca="false">ScenarioName</f>
        <v>Base</v>
      </c>
    </row>
    <row r="878" customFormat="false" ht="15" hidden="false" customHeight="false" outlineLevel="0" collapsed="false">
      <c r="A878" s="8" t="n">
        <v>13</v>
      </c>
      <c r="B878" s="39" t="n">
        <f aca="false">EDATE(StartDate,A878-1)</f>
        <v>46753</v>
      </c>
      <c r="C878" s="24" t="str">
        <f aca="false">Monthly!$B$33</f>
        <v>EnergyWave, Inc.</v>
      </c>
      <c r="D878" s="24" t="str">
        <f aca="false">Monthly!$C$33</f>
        <v>Equipment</v>
      </c>
      <c r="E878" s="24" t="str">
        <f aca="false">Monthly!$D$33</f>
        <v>Calibration</v>
      </c>
      <c r="F878" s="24" t="str">
        <f aca="false">Monthly!$A$33</f>
        <v>Calibration &amp; metrology services</v>
      </c>
      <c r="G878" s="20" t="n">
        <f aca="false">Monthly!R$33</f>
        <v>2500</v>
      </c>
      <c r="H878" s="24" t="str">
        <f aca="false">ScenarioName</f>
        <v>Base</v>
      </c>
    </row>
    <row r="879" customFormat="false" ht="15" hidden="false" customHeight="false" outlineLevel="0" collapsed="false">
      <c r="A879" s="8" t="n">
        <v>14</v>
      </c>
      <c r="B879" s="39" t="n">
        <f aca="false">EDATE(StartDate,A879-1)</f>
        <v>46784</v>
      </c>
      <c r="C879" s="24" t="str">
        <f aca="false">Monthly!$B$33</f>
        <v>EnergyWave, Inc.</v>
      </c>
      <c r="D879" s="24" t="str">
        <f aca="false">Monthly!$C$33</f>
        <v>Equipment</v>
      </c>
      <c r="E879" s="24" t="str">
        <f aca="false">Monthly!$D$33</f>
        <v>Calibration</v>
      </c>
      <c r="F879" s="24" t="str">
        <f aca="false">Monthly!$A$33</f>
        <v>Calibration &amp; metrology services</v>
      </c>
      <c r="G879" s="20" t="n">
        <f aca="false">Monthly!S$33</f>
        <v>2500</v>
      </c>
      <c r="H879" s="24" t="str">
        <f aca="false">ScenarioName</f>
        <v>Base</v>
      </c>
    </row>
    <row r="880" customFormat="false" ht="15" hidden="false" customHeight="false" outlineLevel="0" collapsed="false">
      <c r="A880" s="8" t="n">
        <v>15</v>
      </c>
      <c r="B880" s="39" t="n">
        <f aca="false">EDATE(StartDate,A880-1)</f>
        <v>46813</v>
      </c>
      <c r="C880" s="24" t="str">
        <f aca="false">Monthly!$B$33</f>
        <v>EnergyWave, Inc.</v>
      </c>
      <c r="D880" s="24" t="str">
        <f aca="false">Monthly!$C$33</f>
        <v>Equipment</v>
      </c>
      <c r="E880" s="24" t="str">
        <f aca="false">Monthly!$D$33</f>
        <v>Calibration</v>
      </c>
      <c r="F880" s="24" t="str">
        <f aca="false">Monthly!$A$33</f>
        <v>Calibration &amp; metrology services</v>
      </c>
      <c r="G880" s="20" t="n">
        <f aca="false">Monthly!T$33</f>
        <v>2500</v>
      </c>
      <c r="H880" s="24" t="str">
        <f aca="false">ScenarioName</f>
        <v>Base</v>
      </c>
    </row>
    <row r="881" customFormat="false" ht="15" hidden="false" customHeight="false" outlineLevel="0" collapsed="false">
      <c r="A881" s="8" t="n">
        <v>16</v>
      </c>
      <c r="B881" s="39" t="n">
        <f aca="false">EDATE(StartDate,A881-1)</f>
        <v>46844</v>
      </c>
      <c r="C881" s="24" t="str">
        <f aca="false">Monthly!$B$33</f>
        <v>EnergyWave, Inc.</v>
      </c>
      <c r="D881" s="24" t="str">
        <f aca="false">Monthly!$C$33</f>
        <v>Equipment</v>
      </c>
      <c r="E881" s="24" t="str">
        <f aca="false">Monthly!$D$33</f>
        <v>Calibration</v>
      </c>
      <c r="F881" s="24" t="str">
        <f aca="false">Monthly!$A$33</f>
        <v>Calibration &amp; metrology services</v>
      </c>
      <c r="G881" s="20" t="n">
        <f aca="false">Monthly!U$33</f>
        <v>2500</v>
      </c>
      <c r="H881" s="24" t="str">
        <f aca="false">ScenarioName</f>
        <v>Base</v>
      </c>
    </row>
    <row r="882" customFormat="false" ht="15" hidden="false" customHeight="false" outlineLevel="0" collapsed="false">
      <c r="A882" s="8" t="n">
        <v>17</v>
      </c>
      <c r="B882" s="39" t="n">
        <f aca="false">EDATE(StartDate,A882-1)</f>
        <v>46874</v>
      </c>
      <c r="C882" s="24" t="str">
        <f aca="false">Monthly!$B$33</f>
        <v>EnergyWave, Inc.</v>
      </c>
      <c r="D882" s="24" t="str">
        <f aca="false">Monthly!$C$33</f>
        <v>Equipment</v>
      </c>
      <c r="E882" s="24" t="str">
        <f aca="false">Monthly!$D$33</f>
        <v>Calibration</v>
      </c>
      <c r="F882" s="24" t="str">
        <f aca="false">Monthly!$A$33</f>
        <v>Calibration &amp; metrology services</v>
      </c>
      <c r="G882" s="20" t="n">
        <f aca="false">Monthly!V$33</f>
        <v>2500</v>
      </c>
      <c r="H882" s="24" t="str">
        <f aca="false">ScenarioName</f>
        <v>Base</v>
      </c>
    </row>
    <row r="883" customFormat="false" ht="15" hidden="false" customHeight="false" outlineLevel="0" collapsed="false">
      <c r="A883" s="8" t="n">
        <v>18</v>
      </c>
      <c r="B883" s="39" t="n">
        <f aca="false">EDATE(StartDate,A883-1)</f>
        <v>46905</v>
      </c>
      <c r="C883" s="24" t="str">
        <f aca="false">Monthly!$B$33</f>
        <v>EnergyWave, Inc.</v>
      </c>
      <c r="D883" s="24" t="str">
        <f aca="false">Monthly!$C$33</f>
        <v>Equipment</v>
      </c>
      <c r="E883" s="24" t="str">
        <f aca="false">Monthly!$D$33</f>
        <v>Calibration</v>
      </c>
      <c r="F883" s="24" t="str">
        <f aca="false">Monthly!$A$33</f>
        <v>Calibration &amp; metrology services</v>
      </c>
      <c r="G883" s="20" t="n">
        <f aca="false">Monthly!W$33</f>
        <v>2500</v>
      </c>
      <c r="H883" s="24" t="str">
        <f aca="false">ScenarioName</f>
        <v>Base</v>
      </c>
    </row>
    <row r="884" customFormat="false" ht="15" hidden="false" customHeight="false" outlineLevel="0" collapsed="false">
      <c r="A884" s="8" t="n">
        <v>19</v>
      </c>
      <c r="B884" s="39" t="n">
        <f aca="false">EDATE(StartDate,A884-1)</f>
        <v>46935</v>
      </c>
      <c r="C884" s="24" t="str">
        <f aca="false">Monthly!$B$33</f>
        <v>EnergyWave, Inc.</v>
      </c>
      <c r="D884" s="24" t="str">
        <f aca="false">Monthly!$C$33</f>
        <v>Equipment</v>
      </c>
      <c r="E884" s="24" t="str">
        <f aca="false">Monthly!$D$33</f>
        <v>Calibration</v>
      </c>
      <c r="F884" s="24" t="str">
        <f aca="false">Monthly!$A$33</f>
        <v>Calibration &amp; metrology services</v>
      </c>
      <c r="G884" s="20" t="n">
        <f aca="false">Monthly!X$33</f>
        <v>2500</v>
      </c>
      <c r="H884" s="24" t="str">
        <f aca="false">ScenarioName</f>
        <v>Base</v>
      </c>
    </row>
    <row r="885" customFormat="false" ht="15" hidden="false" customHeight="false" outlineLevel="0" collapsed="false">
      <c r="A885" s="8" t="n">
        <v>20</v>
      </c>
      <c r="B885" s="39" t="n">
        <f aca="false">EDATE(StartDate,A885-1)</f>
        <v>46966</v>
      </c>
      <c r="C885" s="24" t="str">
        <f aca="false">Monthly!$B$33</f>
        <v>EnergyWave, Inc.</v>
      </c>
      <c r="D885" s="24" t="str">
        <f aca="false">Monthly!$C$33</f>
        <v>Equipment</v>
      </c>
      <c r="E885" s="24" t="str">
        <f aca="false">Monthly!$D$33</f>
        <v>Calibration</v>
      </c>
      <c r="F885" s="24" t="str">
        <f aca="false">Monthly!$A$33</f>
        <v>Calibration &amp; metrology services</v>
      </c>
      <c r="G885" s="20" t="n">
        <f aca="false">Monthly!Y$33</f>
        <v>2500</v>
      </c>
      <c r="H885" s="24" t="str">
        <f aca="false">ScenarioName</f>
        <v>Base</v>
      </c>
    </row>
    <row r="886" customFormat="false" ht="15" hidden="false" customHeight="false" outlineLevel="0" collapsed="false">
      <c r="A886" s="8" t="n">
        <v>21</v>
      </c>
      <c r="B886" s="39" t="n">
        <f aca="false">EDATE(StartDate,A886-1)</f>
        <v>46997</v>
      </c>
      <c r="C886" s="24" t="str">
        <f aca="false">Monthly!$B$33</f>
        <v>EnergyWave, Inc.</v>
      </c>
      <c r="D886" s="24" t="str">
        <f aca="false">Monthly!$C$33</f>
        <v>Equipment</v>
      </c>
      <c r="E886" s="24" t="str">
        <f aca="false">Monthly!$D$33</f>
        <v>Calibration</v>
      </c>
      <c r="F886" s="24" t="str">
        <f aca="false">Monthly!$A$33</f>
        <v>Calibration &amp; metrology services</v>
      </c>
      <c r="G886" s="20" t="n">
        <f aca="false">Monthly!Z$33</f>
        <v>2500</v>
      </c>
      <c r="H886" s="24" t="str">
        <f aca="false">ScenarioName</f>
        <v>Base</v>
      </c>
    </row>
    <row r="887" customFormat="false" ht="15" hidden="false" customHeight="false" outlineLevel="0" collapsed="false">
      <c r="A887" s="8" t="n">
        <v>22</v>
      </c>
      <c r="B887" s="39" t="n">
        <f aca="false">EDATE(StartDate,A887-1)</f>
        <v>47027</v>
      </c>
      <c r="C887" s="24" t="str">
        <f aca="false">Monthly!$B$33</f>
        <v>EnergyWave, Inc.</v>
      </c>
      <c r="D887" s="24" t="str">
        <f aca="false">Monthly!$C$33</f>
        <v>Equipment</v>
      </c>
      <c r="E887" s="24" t="str">
        <f aca="false">Monthly!$D$33</f>
        <v>Calibration</v>
      </c>
      <c r="F887" s="24" t="str">
        <f aca="false">Monthly!$A$33</f>
        <v>Calibration &amp; metrology services</v>
      </c>
      <c r="G887" s="20" t="n">
        <f aca="false">Monthly!AA$33</f>
        <v>2500</v>
      </c>
      <c r="H887" s="24" t="str">
        <f aca="false">ScenarioName</f>
        <v>Base</v>
      </c>
    </row>
    <row r="888" customFormat="false" ht="15" hidden="false" customHeight="false" outlineLevel="0" collapsed="false">
      <c r="A888" s="8" t="n">
        <v>23</v>
      </c>
      <c r="B888" s="39" t="n">
        <f aca="false">EDATE(StartDate,A888-1)</f>
        <v>47058</v>
      </c>
      <c r="C888" s="24" t="str">
        <f aca="false">Monthly!$B$33</f>
        <v>EnergyWave, Inc.</v>
      </c>
      <c r="D888" s="24" t="str">
        <f aca="false">Monthly!$C$33</f>
        <v>Equipment</v>
      </c>
      <c r="E888" s="24" t="str">
        <f aca="false">Monthly!$D$33</f>
        <v>Calibration</v>
      </c>
      <c r="F888" s="24" t="str">
        <f aca="false">Monthly!$A$33</f>
        <v>Calibration &amp; metrology services</v>
      </c>
      <c r="G888" s="20" t="n">
        <f aca="false">Monthly!AB$33</f>
        <v>2500</v>
      </c>
      <c r="H888" s="24" t="str">
        <f aca="false">ScenarioName</f>
        <v>Base</v>
      </c>
    </row>
    <row r="889" customFormat="false" ht="15" hidden="false" customHeight="false" outlineLevel="0" collapsed="false">
      <c r="A889" s="8" t="n">
        <v>24</v>
      </c>
      <c r="B889" s="39" t="n">
        <f aca="false">EDATE(StartDate,A889-1)</f>
        <v>47088</v>
      </c>
      <c r="C889" s="24" t="str">
        <f aca="false">Monthly!$B$33</f>
        <v>EnergyWave, Inc.</v>
      </c>
      <c r="D889" s="24" t="str">
        <f aca="false">Monthly!$C$33</f>
        <v>Equipment</v>
      </c>
      <c r="E889" s="24" t="str">
        <f aca="false">Monthly!$D$33</f>
        <v>Calibration</v>
      </c>
      <c r="F889" s="24" t="str">
        <f aca="false">Monthly!$A$33</f>
        <v>Calibration &amp; metrology services</v>
      </c>
      <c r="G889" s="20" t="n">
        <f aca="false">Monthly!AC$33</f>
        <v>2500</v>
      </c>
      <c r="H889" s="24" t="str">
        <f aca="false">ScenarioName</f>
        <v>Base</v>
      </c>
    </row>
    <row r="890" customFormat="false" ht="15" hidden="false" customHeight="false" outlineLevel="0" collapsed="false">
      <c r="A890" s="8" t="n">
        <v>25</v>
      </c>
      <c r="B890" s="39" t="n">
        <f aca="false">EDATE(StartDate,A890-1)</f>
        <v>47119</v>
      </c>
      <c r="C890" s="24" t="str">
        <f aca="false">Monthly!$B$33</f>
        <v>EnergyWave, Inc.</v>
      </c>
      <c r="D890" s="24" t="str">
        <f aca="false">Monthly!$C$33</f>
        <v>Equipment</v>
      </c>
      <c r="E890" s="24" t="str">
        <f aca="false">Monthly!$D$33</f>
        <v>Calibration</v>
      </c>
      <c r="F890" s="24" t="str">
        <f aca="false">Monthly!$A$33</f>
        <v>Calibration &amp; metrology services</v>
      </c>
      <c r="G890" s="20" t="n">
        <f aca="false">Monthly!AD$33</f>
        <v>2500</v>
      </c>
      <c r="H890" s="24" t="str">
        <f aca="false">ScenarioName</f>
        <v>Base</v>
      </c>
    </row>
    <row r="891" customFormat="false" ht="15" hidden="false" customHeight="false" outlineLevel="0" collapsed="false">
      <c r="A891" s="8" t="n">
        <v>26</v>
      </c>
      <c r="B891" s="39" t="n">
        <f aca="false">EDATE(StartDate,A891-1)</f>
        <v>47150</v>
      </c>
      <c r="C891" s="24" t="str">
        <f aca="false">Monthly!$B$33</f>
        <v>EnergyWave, Inc.</v>
      </c>
      <c r="D891" s="24" t="str">
        <f aca="false">Monthly!$C$33</f>
        <v>Equipment</v>
      </c>
      <c r="E891" s="24" t="str">
        <f aca="false">Monthly!$D$33</f>
        <v>Calibration</v>
      </c>
      <c r="F891" s="24" t="str">
        <f aca="false">Monthly!$A$33</f>
        <v>Calibration &amp; metrology services</v>
      </c>
      <c r="G891" s="20" t="n">
        <f aca="false">Monthly!AE$33</f>
        <v>2500</v>
      </c>
      <c r="H891" s="24" t="str">
        <f aca="false">ScenarioName</f>
        <v>Base</v>
      </c>
    </row>
    <row r="892" customFormat="false" ht="15" hidden="false" customHeight="false" outlineLevel="0" collapsed="false">
      <c r="A892" s="8" t="n">
        <v>27</v>
      </c>
      <c r="B892" s="39" t="n">
        <f aca="false">EDATE(StartDate,A892-1)</f>
        <v>47178</v>
      </c>
      <c r="C892" s="24" t="str">
        <f aca="false">Monthly!$B$33</f>
        <v>EnergyWave, Inc.</v>
      </c>
      <c r="D892" s="24" t="str">
        <f aca="false">Monthly!$C$33</f>
        <v>Equipment</v>
      </c>
      <c r="E892" s="24" t="str">
        <f aca="false">Monthly!$D$33</f>
        <v>Calibration</v>
      </c>
      <c r="F892" s="24" t="str">
        <f aca="false">Monthly!$A$33</f>
        <v>Calibration &amp; metrology services</v>
      </c>
      <c r="G892" s="20" t="n">
        <f aca="false">Monthly!AF$33</f>
        <v>2500</v>
      </c>
      <c r="H892" s="24" t="str">
        <f aca="false">ScenarioName</f>
        <v>Base</v>
      </c>
    </row>
    <row r="893" customFormat="false" ht="15" hidden="false" customHeight="false" outlineLevel="0" collapsed="false">
      <c r="A893" s="8" t="n">
        <v>28</v>
      </c>
      <c r="B893" s="39" t="n">
        <f aca="false">EDATE(StartDate,A893-1)</f>
        <v>47209</v>
      </c>
      <c r="C893" s="24" t="str">
        <f aca="false">Monthly!$B$33</f>
        <v>EnergyWave, Inc.</v>
      </c>
      <c r="D893" s="24" t="str">
        <f aca="false">Monthly!$C$33</f>
        <v>Equipment</v>
      </c>
      <c r="E893" s="24" t="str">
        <f aca="false">Monthly!$D$33</f>
        <v>Calibration</v>
      </c>
      <c r="F893" s="24" t="str">
        <f aca="false">Monthly!$A$33</f>
        <v>Calibration &amp; metrology services</v>
      </c>
      <c r="G893" s="20" t="n">
        <f aca="false">Monthly!AG$33</f>
        <v>2500</v>
      </c>
      <c r="H893" s="24" t="str">
        <f aca="false">ScenarioName</f>
        <v>Base</v>
      </c>
    </row>
    <row r="894" customFormat="false" ht="15" hidden="false" customHeight="false" outlineLevel="0" collapsed="false">
      <c r="A894" s="8" t="n">
        <v>29</v>
      </c>
      <c r="B894" s="39" t="n">
        <f aca="false">EDATE(StartDate,A894-1)</f>
        <v>47239</v>
      </c>
      <c r="C894" s="24" t="str">
        <f aca="false">Monthly!$B$33</f>
        <v>EnergyWave, Inc.</v>
      </c>
      <c r="D894" s="24" t="str">
        <f aca="false">Monthly!$C$33</f>
        <v>Equipment</v>
      </c>
      <c r="E894" s="24" t="str">
        <f aca="false">Monthly!$D$33</f>
        <v>Calibration</v>
      </c>
      <c r="F894" s="24" t="str">
        <f aca="false">Monthly!$A$33</f>
        <v>Calibration &amp; metrology services</v>
      </c>
      <c r="G894" s="20" t="n">
        <f aca="false">Monthly!AH$33</f>
        <v>2500</v>
      </c>
      <c r="H894" s="24" t="str">
        <f aca="false">ScenarioName</f>
        <v>Base</v>
      </c>
    </row>
    <row r="895" customFormat="false" ht="15" hidden="false" customHeight="false" outlineLevel="0" collapsed="false">
      <c r="A895" s="8" t="n">
        <v>30</v>
      </c>
      <c r="B895" s="39" t="n">
        <f aca="false">EDATE(StartDate,A895-1)</f>
        <v>47270</v>
      </c>
      <c r="C895" s="24" t="str">
        <f aca="false">Monthly!$B$33</f>
        <v>EnergyWave, Inc.</v>
      </c>
      <c r="D895" s="24" t="str">
        <f aca="false">Monthly!$C$33</f>
        <v>Equipment</v>
      </c>
      <c r="E895" s="24" t="str">
        <f aca="false">Monthly!$D$33</f>
        <v>Calibration</v>
      </c>
      <c r="F895" s="24" t="str">
        <f aca="false">Monthly!$A$33</f>
        <v>Calibration &amp; metrology services</v>
      </c>
      <c r="G895" s="20" t="n">
        <f aca="false">Monthly!AI$33</f>
        <v>2500</v>
      </c>
      <c r="H895" s="24" t="str">
        <f aca="false">ScenarioName</f>
        <v>Base</v>
      </c>
    </row>
    <row r="896" customFormat="false" ht="15" hidden="false" customHeight="false" outlineLevel="0" collapsed="false">
      <c r="A896" s="8" t="n">
        <v>31</v>
      </c>
      <c r="B896" s="39" t="n">
        <f aca="false">EDATE(StartDate,A896-1)</f>
        <v>47300</v>
      </c>
      <c r="C896" s="24" t="str">
        <f aca="false">Monthly!$B$33</f>
        <v>EnergyWave, Inc.</v>
      </c>
      <c r="D896" s="24" t="str">
        <f aca="false">Monthly!$C$33</f>
        <v>Equipment</v>
      </c>
      <c r="E896" s="24" t="str">
        <f aca="false">Monthly!$D$33</f>
        <v>Calibration</v>
      </c>
      <c r="F896" s="24" t="str">
        <f aca="false">Monthly!$A$33</f>
        <v>Calibration &amp; metrology services</v>
      </c>
      <c r="G896" s="20" t="n">
        <f aca="false">Monthly!AJ$33</f>
        <v>2500</v>
      </c>
      <c r="H896" s="24" t="str">
        <f aca="false">ScenarioName</f>
        <v>Base</v>
      </c>
    </row>
    <row r="897" customFormat="false" ht="15" hidden="false" customHeight="false" outlineLevel="0" collapsed="false">
      <c r="A897" s="8" t="n">
        <v>32</v>
      </c>
      <c r="B897" s="39" t="n">
        <f aca="false">EDATE(StartDate,A897-1)</f>
        <v>47331</v>
      </c>
      <c r="C897" s="24" t="str">
        <f aca="false">Monthly!$B$33</f>
        <v>EnergyWave, Inc.</v>
      </c>
      <c r="D897" s="24" t="str">
        <f aca="false">Monthly!$C$33</f>
        <v>Equipment</v>
      </c>
      <c r="E897" s="24" t="str">
        <f aca="false">Monthly!$D$33</f>
        <v>Calibration</v>
      </c>
      <c r="F897" s="24" t="str">
        <f aca="false">Monthly!$A$33</f>
        <v>Calibration &amp; metrology services</v>
      </c>
      <c r="G897" s="20" t="n">
        <f aca="false">Monthly!AK$33</f>
        <v>2500</v>
      </c>
      <c r="H897" s="24" t="str">
        <f aca="false">ScenarioName</f>
        <v>Base</v>
      </c>
    </row>
    <row r="898" customFormat="false" ht="15" hidden="false" customHeight="false" outlineLevel="0" collapsed="false">
      <c r="A898" s="8" t="n">
        <v>33</v>
      </c>
      <c r="B898" s="39" t="n">
        <f aca="false">EDATE(StartDate,A898-1)</f>
        <v>47362</v>
      </c>
      <c r="C898" s="24" t="str">
        <f aca="false">Monthly!$B$33</f>
        <v>EnergyWave, Inc.</v>
      </c>
      <c r="D898" s="24" t="str">
        <f aca="false">Monthly!$C$33</f>
        <v>Equipment</v>
      </c>
      <c r="E898" s="24" t="str">
        <f aca="false">Monthly!$D$33</f>
        <v>Calibration</v>
      </c>
      <c r="F898" s="24" t="str">
        <f aca="false">Monthly!$A$33</f>
        <v>Calibration &amp; metrology services</v>
      </c>
      <c r="G898" s="20" t="n">
        <f aca="false">Monthly!AL$33</f>
        <v>2500</v>
      </c>
      <c r="H898" s="24" t="str">
        <f aca="false">ScenarioName</f>
        <v>Base</v>
      </c>
    </row>
    <row r="899" customFormat="false" ht="15" hidden="false" customHeight="false" outlineLevel="0" collapsed="false">
      <c r="A899" s="8" t="n">
        <v>34</v>
      </c>
      <c r="B899" s="39" t="n">
        <f aca="false">EDATE(StartDate,A899-1)</f>
        <v>47392</v>
      </c>
      <c r="C899" s="24" t="str">
        <f aca="false">Monthly!$B$33</f>
        <v>EnergyWave, Inc.</v>
      </c>
      <c r="D899" s="24" t="str">
        <f aca="false">Monthly!$C$33</f>
        <v>Equipment</v>
      </c>
      <c r="E899" s="24" t="str">
        <f aca="false">Monthly!$D$33</f>
        <v>Calibration</v>
      </c>
      <c r="F899" s="24" t="str">
        <f aca="false">Monthly!$A$33</f>
        <v>Calibration &amp; metrology services</v>
      </c>
      <c r="G899" s="20" t="n">
        <f aca="false">Monthly!AM$33</f>
        <v>2500</v>
      </c>
      <c r="H899" s="24" t="str">
        <f aca="false">ScenarioName</f>
        <v>Base</v>
      </c>
    </row>
    <row r="900" customFormat="false" ht="15" hidden="false" customHeight="false" outlineLevel="0" collapsed="false">
      <c r="A900" s="8" t="n">
        <v>35</v>
      </c>
      <c r="B900" s="39" t="n">
        <f aca="false">EDATE(StartDate,A900-1)</f>
        <v>47423</v>
      </c>
      <c r="C900" s="24" t="str">
        <f aca="false">Monthly!$B$33</f>
        <v>EnergyWave, Inc.</v>
      </c>
      <c r="D900" s="24" t="str">
        <f aca="false">Monthly!$C$33</f>
        <v>Equipment</v>
      </c>
      <c r="E900" s="24" t="str">
        <f aca="false">Monthly!$D$33</f>
        <v>Calibration</v>
      </c>
      <c r="F900" s="24" t="str">
        <f aca="false">Monthly!$A$33</f>
        <v>Calibration &amp; metrology services</v>
      </c>
      <c r="G900" s="20" t="n">
        <f aca="false">Monthly!AN$33</f>
        <v>2500</v>
      </c>
      <c r="H900" s="24" t="str">
        <f aca="false">ScenarioName</f>
        <v>Base</v>
      </c>
    </row>
    <row r="901" customFormat="false" ht="15" hidden="false" customHeight="false" outlineLevel="0" collapsed="false">
      <c r="A901" s="8" t="n">
        <v>36</v>
      </c>
      <c r="B901" s="39" t="n">
        <f aca="false">EDATE(StartDate,A901-1)</f>
        <v>47453</v>
      </c>
      <c r="C901" s="24" t="str">
        <f aca="false">Monthly!$B$33</f>
        <v>EnergyWave, Inc.</v>
      </c>
      <c r="D901" s="24" t="str">
        <f aca="false">Monthly!$C$33</f>
        <v>Equipment</v>
      </c>
      <c r="E901" s="24" t="str">
        <f aca="false">Monthly!$D$33</f>
        <v>Calibration</v>
      </c>
      <c r="F901" s="24" t="str">
        <f aca="false">Monthly!$A$33</f>
        <v>Calibration &amp; metrology services</v>
      </c>
      <c r="G901" s="20" t="n">
        <f aca="false">Monthly!AO$33</f>
        <v>2500</v>
      </c>
      <c r="H901" s="24" t="str">
        <f aca="false">ScenarioName</f>
        <v>Base</v>
      </c>
    </row>
    <row r="902" customFormat="false" ht="15" hidden="false" customHeight="false" outlineLevel="0" collapsed="false">
      <c r="A902" s="8" t="n">
        <v>1</v>
      </c>
      <c r="B902" s="39" t="n">
        <f aca="false">EDATE(StartDate,A902-1)</f>
        <v>46388</v>
      </c>
      <c r="C902" s="24" t="str">
        <f aca="false">Monthly!$B$34</f>
        <v>EnergyWave, Inc.</v>
      </c>
      <c r="D902" s="24" t="str">
        <f aca="false">Monthly!$C$34</f>
        <v>Equipment</v>
      </c>
      <c r="E902" s="24" t="str">
        <f aca="false">Monthly!$D$34</f>
        <v>Additive manufacturing</v>
      </c>
      <c r="F902" s="24" t="str">
        <f aca="false">Monthly!$A$34</f>
        <v>Precision additive-manufacturing system (high-resolution AM with closed-loop process control)</v>
      </c>
      <c r="G902" s="20" t="n">
        <f aca="false">Monthly!F$34</f>
        <v>0</v>
      </c>
      <c r="H902" s="24" t="str">
        <f aca="false">ScenarioName</f>
        <v>Base</v>
      </c>
    </row>
    <row r="903" customFormat="false" ht="15" hidden="false" customHeight="false" outlineLevel="0" collapsed="false">
      <c r="A903" s="8" t="n">
        <v>2</v>
      </c>
      <c r="B903" s="39" t="n">
        <f aca="false">EDATE(StartDate,A903-1)</f>
        <v>46419</v>
      </c>
      <c r="C903" s="24" t="str">
        <f aca="false">Monthly!$B$34</f>
        <v>EnergyWave, Inc.</v>
      </c>
      <c r="D903" s="24" t="str">
        <f aca="false">Monthly!$C$34</f>
        <v>Equipment</v>
      </c>
      <c r="E903" s="24" t="str">
        <f aca="false">Monthly!$D$34</f>
        <v>Additive manufacturing</v>
      </c>
      <c r="F903" s="24" t="str">
        <f aca="false">Monthly!$A$34</f>
        <v>Precision additive-manufacturing system (high-resolution AM with closed-loop process control)</v>
      </c>
      <c r="G903" s="20" t="n">
        <f aca="false">Monthly!G$34</f>
        <v>0</v>
      </c>
      <c r="H903" s="24" t="str">
        <f aca="false">ScenarioName</f>
        <v>Base</v>
      </c>
    </row>
    <row r="904" customFormat="false" ht="15" hidden="false" customHeight="false" outlineLevel="0" collapsed="false">
      <c r="A904" s="8" t="n">
        <v>3</v>
      </c>
      <c r="B904" s="39" t="n">
        <f aca="false">EDATE(StartDate,A904-1)</f>
        <v>46447</v>
      </c>
      <c r="C904" s="24" t="str">
        <f aca="false">Monthly!$B$34</f>
        <v>EnergyWave, Inc.</v>
      </c>
      <c r="D904" s="24" t="str">
        <f aca="false">Monthly!$C$34</f>
        <v>Equipment</v>
      </c>
      <c r="E904" s="24" t="str">
        <f aca="false">Monthly!$D$34</f>
        <v>Additive manufacturing</v>
      </c>
      <c r="F904" s="24" t="str">
        <f aca="false">Monthly!$A$34</f>
        <v>Precision additive-manufacturing system (high-resolution AM with closed-loop process control)</v>
      </c>
      <c r="G904" s="20" t="n">
        <f aca="false">Monthly!H$34</f>
        <v>750000</v>
      </c>
      <c r="H904" s="24" t="str">
        <f aca="false">ScenarioName</f>
        <v>Base</v>
      </c>
    </row>
    <row r="905" customFormat="false" ht="15" hidden="false" customHeight="false" outlineLevel="0" collapsed="false">
      <c r="A905" s="8" t="n">
        <v>4</v>
      </c>
      <c r="B905" s="39" t="n">
        <f aca="false">EDATE(StartDate,A905-1)</f>
        <v>46478</v>
      </c>
      <c r="C905" s="24" t="str">
        <f aca="false">Monthly!$B$34</f>
        <v>EnergyWave, Inc.</v>
      </c>
      <c r="D905" s="24" t="str">
        <f aca="false">Monthly!$C$34</f>
        <v>Equipment</v>
      </c>
      <c r="E905" s="24" t="str">
        <f aca="false">Monthly!$D$34</f>
        <v>Additive manufacturing</v>
      </c>
      <c r="F905" s="24" t="str">
        <f aca="false">Monthly!$A$34</f>
        <v>Precision additive-manufacturing system (high-resolution AM with closed-loop process control)</v>
      </c>
      <c r="G905" s="20" t="n">
        <f aca="false">Monthly!I$34</f>
        <v>0</v>
      </c>
      <c r="H905" s="24" t="str">
        <f aca="false">ScenarioName</f>
        <v>Base</v>
      </c>
    </row>
    <row r="906" customFormat="false" ht="15" hidden="false" customHeight="false" outlineLevel="0" collapsed="false">
      <c r="A906" s="8" t="n">
        <v>5</v>
      </c>
      <c r="B906" s="39" t="n">
        <f aca="false">EDATE(StartDate,A906-1)</f>
        <v>46508</v>
      </c>
      <c r="C906" s="24" t="str">
        <f aca="false">Monthly!$B$34</f>
        <v>EnergyWave, Inc.</v>
      </c>
      <c r="D906" s="24" t="str">
        <f aca="false">Monthly!$C$34</f>
        <v>Equipment</v>
      </c>
      <c r="E906" s="24" t="str">
        <f aca="false">Monthly!$D$34</f>
        <v>Additive manufacturing</v>
      </c>
      <c r="F906" s="24" t="str">
        <f aca="false">Monthly!$A$34</f>
        <v>Precision additive-manufacturing system (high-resolution AM with closed-loop process control)</v>
      </c>
      <c r="G906" s="20" t="n">
        <f aca="false">Monthly!J$34</f>
        <v>0</v>
      </c>
      <c r="H906" s="24" t="str">
        <f aca="false">ScenarioName</f>
        <v>Base</v>
      </c>
    </row>
    <row r="907" customFormat="false" ht="15" hidden="false" customHeight="false" outlineLevel="0" collapsed="false">
      <c r="A907" s="8" t="n">
        <v>6</v>
      </c>
      <c r="B907" s="39" t="n">
        <f aca="false">EDATE(StartDate,A907-1)</f>
        <v>46539</v>
      </c>
      <c r="C907" s="24" t="str">
        <f aca="false">Monthly!$B$34</f>
        <v>EnergyWave, Inc.</v>
      </c>
      <c r="D907" s="24" t="str">
        <f aca="false">Monthly!$C$34</f>
        <v>Equipment</v>
      </c>
      <c r="E907" s="24" t="str">
        <f aca="false">Monthly!$D$34</f>
        <v>Additive manufacturing</v>
      </c>
      <c r="F907" s="24" t="str">
        <f aca="false">Monthly!$A$34</f>
        <v>Precision additive-manufacturing system (high-resolution AM with closed-loop process control)</v>
      </c>
      <c r="G907" s="20" t="n">
        <f aca="false">Monthly!K$34</f>
        <v>0</v>
      </c>
      <c r="H907" s="24" t="str">
        <f aca="false">ScenarioName</f>
        <v>Base</v>
      </c>
    </row>
    <row r="908" customFormat="false" ht="15" hidden="false" customHeight="false" outlineLevel="0" collapsed="false">
      <c r="A908" s="8" t="n">
        <v>7</v>
      </c>
      <c r="B908" s="39" t="n">
        <f aca="false">EDATE(StartDate,A908-1)</f>
        <v>46569</v>
      </c>
      <c r="C908" s="24" t="str">
        <f aca="false">Monthly!$B$34</f>
        <v>EnergyWave, Inc.</v>
      </c>
      <c r="D908" s="24" t="str">
        <f aca="false">Monthly!$C$34</f>
        <v>Equipment</v>
      </c>
      <c r="E908" s="24" t="str">
        <f aca="false">Monthly!$D$34</f>
        <v>Additive manufacturing</v>
      </c>
      <c r="F908" s="24" t="str">
        <f aca="false">Monthly!$A$34</f>
        <v>Precision additive-manufacturing system (high-resolution AM with closed-loop process control)</v>
      </c>
      <c r="G908" s="20" t="n">
        <f aca="false">Monthly!L$34</f>
        <v>0</v>
      </c>
      <c r="H908" s="24" t="str">
        <f aca="false">ScenarioName</f>
        <v>Base</v>
      </c>
    </row>
    <row r="909" customFormat="false" ht="15" hidden="false" customHeight="false" outlineLevel="0" collapsed="false">
      <c r="A909" s="8" t="n">
        <v>8</v>
      </c>
      <c r="B909" s="39" t="n">
        <f aca="false">EDATE(StartDate,A909-1)</f>
        <v>46600</v>
      </c>
      <c r="C909" s="24" t="str">
        <f aca="false">Monthly!$B$34</f>
        <v>EnergyWave, Inc.</v>
      </c>
      <c r="D909" s="24" t="str">
        <f aca="false">Monthly!$C$34</f>
        <v>Equipment</v>
      </c>
      <c r="E909" s="24" t="str">
        <f aca="false">Monthly!$D$34</f>
        <v>Additive manufacturing</v>
      </c>
      <c r="F909" s="24" t="str">
        <f aca="false">Monthly!$A$34</f>
        <v>Precision additive-manufacturing system (high-resolution AM with closed-loop process control)</v>
      </c>
      <c r="G909" s="20" t="n">
        <f aca="false">Monthly!M$34</f>
        <v>0</v>
      </c>
      <c r="H909" s="24" t="str">
        <f aca="false">ScenarioName</f>
        <v>Base</v>
      </c>
    </row>
    <row r="910" customFormat="false" ht="15" hidden="false" customHeight="false" outlineLevel="0" collapsed="false">
      <c r="A910" s="8" t="n">
        <v>9</v>
      </c>
      <c r="B910" s="39" t="n">
        <f aca="false">EDATE(StartDate,A910-1)</f>
        <v>46631</v>
      </c>
      <c r="C910" s="24" t="str">
        <f aca="false">Monthly!$B$34</f>
        <v>EnergyWave, Inc.</v>
      </c>
      <c r="D910" s="24" t="str">
        <f aca="false">Monthly!$C$34</f>
        <v>Equipment</v>
      </c>
      <c r="E910" s="24" t="str">
        <f aca="false">Monthly!$D$34</f>
        <v>Additive manufacturing</v>
      </c>
      <c r="F910" s="24" t="str">
        <f aca="false">Monthly!$A$34</f>
        <v>Precision additive-manufacturing system (high-resolution AM with closed-loop process control)</v>
      </c>
      <c r="G910" s="20" t="n">
        <f aca="false">Monthly!N$34</f>
        <v>0</v>
      </c>
      <c r="H910" s="24" t="str">
        <f aca="false">ScenarioName</f>
        <v>Base</v>
      </c>
    </row>
    <row r="911" customFormat="false" ht="15" hidden="false" customHeight="false" outlineLevel="0" collapsed="false">
      <c r="A911" s="8" t="n">
        <v>10</v>
      </c>
      <c r="B911" s="39" t="n">
        <f aca="false">EDATE(StartDate,A911-1)</f>
        <v>46661</v>
      </c>
      <c r="C911" s="24" t="str">
        <f aca="false">Monthly!$B$34</f>
        <v>EnergyWave, Inc.</v>
      </c>
      <c r="D911" s="24" t="str">
        <f aca="false">Monthly!$C$34</f>
        <v>Equipment</v>
      </c>
      <c r="E911" s="24" t="str">
        <f aca="false">Monthly!$D$34</f>
        <v>Additive manufacturing</v>
      </c>
      <c r="F911" s="24" t="str">
        <f aca="false">Monthly!$A$34</f>
        <v>Precision additive-manufacturing system (high-resolution AM with closed-loop process control)</v>
      </c>
      <c r="G911" s="20" t="n">
        <f aca="false">Monthly!O$34</f>
        <v>0</v>
      </c>
      <c r="H911" s="24" t="str">
        <f aca="false">ScenarioName</f>
        <v>Base</v>
      </c>
    </row>
    <row r="912" customFormat="false" ht="15" hidden="false" customHeight="false" outlineLevel="0" collapsed="false">
      <c r="A912" s="8" t="n">
        <v>11</v>
      </c>
      <c r="B912" s="39" t="n">
        <f aca="false">EDATE(StartDate,A912-1)</f>
        <v>46692</v>
      </c>
      <c r="C912" s="24" t="str">
        <f aca="false">Monthly!$B$34</f>
        <v>EnergyWave, Inc.</v>
      </c>
      <c r="D912" s="24" t="str">
        <f aca="false">Monthly!$C$34</f>
        <v>Equipment</v>
      </c>
      <c r="E912" s="24" t="str">
        <f aca="false">Monthly!$D$34</f>
        <v>Additive manufacturing</v>
      </c>
      <c r="F912" s="24" t="str">
        <f aca="false">Monthly!$A$34</f>
        <v>Precision additive-manufacturing system (high-resolution AM with closed-loop process control)</v>
      </c>
      <c r="G912" s="20" t="n">
        <f aca="false">Monthly!P$34</f>
        <v>0</v>
      </c>
      <c r="H912" s="24" t="str">
        <f aca="false">ScenarioName</f>
        <v>Base</v>
      </c>
    </row>
    <row r="913" customFormat="false" ht="15" hidden="false" customHeight="false" outlineLevel="0" collapsed="false">
      <c r="A913" s="8" t="n">
        <v>12</v>
      </c>
      <c r="B913" s="39" t="n">
        <f aca="false">EDATE(StartDate,A913-1)</f>
        <v>46722</v>
      </c>
      <c r="C913" s="24" t="str">
        <f aca="false">Monthly!$B$34</f>
        <v>EnergyWave, Inc.</v>
      </c>
      <c r="D913" s="24" t="str">
        <f aca="false">Monthly!$C$34</f>
        <v>Equipment</v>
      </c>
      <c r="E913" s="24" t="str">
        <f aca="false">Monthly!$D$34</f>
        <v>Additive manufacturing</v>
      </c>
      <c r="F913" s="24" t="str">
        <f aca="false">Monthly!$A$34</f>
        <v>Precision additive-manufacturing system (high-resolution AM with closed-loop process control)</v>
      </c>
      <c r="G913" s="20" t="n">
        <f aca="false">Monthly!Q$34</f>
        <v>0</v>
      </c>
      <c r="H913" s="24" t="str">
        <f aca="false">ScenarioName</f>
        <v>Base</v>
      </c>
    </row>
    <row r="914" customFormat="false" ht="15" hidden="false" customHeight="false" outlineLevel="0" collapsed="false">
      <c r="A914" s="8" t="n">
        <v>13</v>
      </c>
      <c r="B914" s="39" t="n">
        <f aca="false">EDATE(StartDate,A914-1)</f>
        <v>46753</v>
      </c>
      <c r="C914" s="24" t="str">
        <f aca="false">Monthly!$B$34</f>
        <v>EnergyWave, Inc.</v>
      </c>
      <c r="D914" s="24" t="str">
        <f aca="false">Monthly!$C$34</f>
        <v>Equipment</v>
      </c>
      <c r="E914" s="24" t="str">
        <f aca="false">Monthly!$D$34</f>
        <v>Additive manufacturing</v>
      </c>
      <c r="F914" s="24" t="str">
        <f aca="false">Monthly!$A$34</f>
        <v>Precision additive-manufacturing system (high-resolution AM with closed-loop process control)</v>
      </c>
      <c r="G914" s="20" t="n">
        <f aca="false">Monthly!R$34</f>
        <v>0</v>
      </c>
      <c r="H914" s="24" t="str">
        <f aca="false">ScenarioName</f>
        <v>Base</v>
      </c>
    </row>
    <row r="915" customFormat="false" ht="15" hidden="false" customHeight="false" outlineLevel="0" collapsed="false">
      <c r="A915" s="8" t="n">
        <v>14</v>
      </c>
      <c r="B915" s="39" t="n">
        <f aca="false">EDATE(StartDate,A915-1)</f>
        <v>46784</v>
      </c>
      <c r="C915" s="24" t="str">
        <f aca="false">Monthly!$B$34</f>
        <v>EnergyWave, Inc.</v>
      </c>
      <c r="D915" s="24" t="str">
        <f aca="false">Monthly!$C$34</f>
        <v>Equipment</v>
      </c>
      <c r="E915" s="24" t="str">
        <f aca="false">Monthly!$D$34</f>
        <v>Additive manufacturing</v>
      </c>
      <c r="F915" s="24" t="str">
        <f aca="false">Monthly!$A$34</f>
        <v>Precision additive-manufacturing system (high-resolution AM with closed-loop process control)</v>
      </c>
      <c r="G915" s="20" t="n">
        <f aca="false">Monthly!S$34</f>
        <v>0</v>
      </c>
      <c r="H915" s="24" t="str">
        <f aca="false">ScenarioName</f>
        <v>Base</v>
      </c>
    </row>
    <row r="916" customFormat="false" ht="15" hidden="false" customHeight="false" outlineLevel="0" collapsed="false">
      <c r="A916" s="8" t="n">
        <v>15</v>
      </c>
      <c r="B916" s="39" t="n">
        <f aca="false">EDATE(StartDate,A916-1)</f>
        <v>46813</v>
      </c>
      <c r="C916" s="24" t="str">
        <f aca="false">Monthly!$B$34</f>
        <v>EnergyWave, Inc.</v>
      </c>
      <c r="D916" s="24" t="str">
        <f aca="false">Monthly!$C$34</f>
        <v>Equipment</v>
      </c>
      <c r="E916" s="24" t="str">
        <f aca="false">Monthly!$D$34</f>
        <v>Additive manufacturing</v>
      </c>
      <c r="F916" s="24" t="str">
        <f aca="false">Monthly!$A$34</f>
        <v>Precision additive-manufacturing system (high-resolution AM with closed-loop process control)</v>
      </c>
      <c r="G916" s="20" t="n">
        <f aca="false">Monthly!T$34</f>
        <v>0</v>
      </c>
      <c r="H916" s="24" t="str">
        <f aca="false">ScenarioName</f>
        <v>Base</v>
      </c>
    </row>
    <row r="917" customFormat="false" ht="15" hidden="false" customHeight="false" outlineLevel="0" collapsed="false">
      <c r="A917" s="8" t="n">
        <v>16</v>
      </c>
      <c r="B917" s="39" t="n">
        <f aca="false">EDATE(StartDate,A917-1)</f>
        <v>46844</v>
      </c>
      <c r="C917" s="24" t="str">
        <f aca="false">Monthly!$B$34</f>
        <v>EnergyWave, Inc.</v>
      </c>
      <c r="D917" s="24" t="str">
        <f aca="false">Monthly!$C$34</f>
        <v>Equipment</v>
      </c>
      <c r="E917" s="24" t="str">
        <f aca="false">Monthly!$D$34</f>
        <v>Additive manufacturing</v>
      </c>
      <c r="F917" s="24" t="str">
        <f aca="false">Monthly!$A$34</f>
        <v>Precision additive-manufacturing system (high-resolution AM with closed-loop process control)</v>
      </c>
      <c r="G917" s="20" t="n">
        <f aca="false">Monthly!U$34</f>
        <v>0</v>
      </c>
      <c r="H917" s="24" t="str">
        <f aca="false">ScenarioName</f>
        <v>Base</v>
      </c>
    </row>
    <row r="918" customFormat="false" ht="15" hidden="false" customHeight="false" outlineLevel="0" collapsed="false">
      <c r="A918" s="8" t="n">
        <v>17</v>
      </c>
      <c r="B918" s="39" t="n">
        <f aca="false">EDATE(StartDate,A918-1)</f>
        <v>46874</v>
      </c>
      <c r="C918" s="24" t="str">
        <f aca="false">Monthly!$B$34</f>
        <v>EnergyWave, Inc.</v>
      </c>
      <c r="D918" s="24" t="str">
        <f aca="false">Monthly!$C$34</f>
        <v>Equipment</v>
      </c>
      <c r="E918" s="24" t="str">
        <f aca="false">Monthly!$D$34</f>
        <v>Additive manufacturing</v>
      </c>
      <c r="F918" s="24" t="str">
        <f aca="false">Monthly!$A$34</f>
        <v>Precision additive-manufacturing system (high-resolution AM with closed-loop process control)</v>
      </c>
      <c r="G918" s="20" t="n">
        <f aca="false">Monthly!V$34</f>
        <v>0</v>
      </c>
      <c r="H918" s="24" t="str">
        <f aca="false">ScenarioName</f>
        <v>Base</v>
      </c>
    </row>
    <row r="919" customFormat="false" ht="15" hidden="false" customHeight="false" outlineLevel="0" collapsed="false">
      <c r="A919" s="8" t="n">
        <v>18</v>
      </c>
      <c r="B919" s="39" t="n">
        <f aca="false">EDATE(StartDate,A919-1)</f>
        <v>46905</v>
      </c>
      <c r="C919" s="24" t="str">
        <f aca="false">Monthly!$B$34</f>
        <v>EnergyWave, Inc.</v>
      </c>
      <c r="D919" s="24" t="str">
        <f aca="false">Monthly!$C$34</f>
        <v>Equipment</v>
      </c>
      <c r="E919" s="24" t="str">
        <f aca="false">Monthly!$D$34</f>
        <v>Additive manufacturing</v>
      </c>
      <c r="F919" s="24" t="str">
        <f aca="false">Monthly!$A$34</f>
        <v>Precision additive-manufacturing system (high-resolution AM with closed-loop process control)</v>
      </c>
      <c r="G919" s="20" t="n">
        <f aca="false">Monthly!W$34</f>
        <v>0</v>
      </c>
      <c r="H919" s="24" t="str">
        <f aca="false">ScenarioName</f>
        <v>Base</v>
      </c>
    </row>
    <row r="920" customFormat="false" ht="15" hidden="false" customHeight="false" outlineLevel="0" collapsed="false">
      <c r="A920" s="8" t="n">
        <v>19</v>
      </c>
      <c r="B920" s="39" t="n">
        <f aca="false">EDATE(StartDate,A920-1)</f>
        <v>46935</v>
      </c>
      <c r="C920" s="24" t="str">
        <f aca="false">Monthly!$B$34</f>
        <v>EnergyWave, Inc.</v>
      </c>
      <c r="D920" s="24" t="str">
        <f aca="false">Monthly!$C$34</f>
        <v>Equipment</v>
      </c>
      <c r="E920" s="24" t="str">
        <f aca="false">Monthly!$D$34</f>
        <v>Additive manufacturing</v>
      </c>
      <c r="F920" s="24" t="str">
        <f aca="false">Monthly!$A$34</f>
        <v>Precision additive-manufacturing system (high-resolution AM with closed-loop process control)</v>
      </c>
      <c r="G920" s="20" t="n">
        <f aca="false">Monthly!X$34</f>
        <v>0</v>
      </c>
      <c r="H920" s="24" t="str">
        <f aca="false">ScenarioName</f>
        <v>Base</v>
      </c>
    </row>
    <row r="921" customFormat="false" ht="15" hidden="false" customHeight="false" outlineLevel="0" collapsed="false">
      <c r="A921" s="8" t="n">
        <v>20</v>
      </c>
      <c r="B921" s="39" t="n">
        <f aca="false">EDATE(StartDate,A921-1)</f>
        <v>46966</v>
      </c>
      <c r="C921" s="24" t="str">
        <f aca="false">Monthly!$B$34</f>
        <v>EnergyWave, Inc.</v>
      </c>
      <c r="D921" s="24" t="str">
        <f aca="false">Monthly!$C$34</f>
        <v>Equipment</v>
      </c>
      <c r="E921" s="24" t="str">
        <f aca="false">Monthly!$D$34</f>
        <v>Additive manufacturing</v>
      </c>
      <c r="F921" s="24" t="str">
        <f aca="false">Monthly!$A$34</f>
        <v>Precision additive-manufacturing system (high-resolution AM with closed-loop process control)</v>
      </c>
      <c r="G921" s="20" t="n">
        <f aca="false">Monthly!Y$34</f>
        <v>0</v>
      </c>
      <c r="H921" s="24" t="str">
        <f aca="false">ScenarioName</f>
        <v>Base</v>
      </c>
    </row>
    <row r="922" customFormat="false" ht="15" hidden="false" customHeight="false" outlineLevel="0" collapsed="false">
      <c r="A922" s="8" t="n">
        <v>21</v>
      </c>
      <c r="B922" s="39" t="n">
        <f aca="false">EDATE(StartDate,A922-1)</f>
        <v>46997</v>
      </c>
      <c r="C922" s="24" t="str">
        <f aca="false">Monthly!$B$34</f>
        <v>EnergyWave, Inc.</v>
      </c>
      <c r="D922" s="24" t="str">
        <f aca="false">Monthly!$C$34</f>
        <v>Equipment</v>
      </c>
      <c r="E922" s="24" t="str">
        <f aca="false">Monthly!$D$34</f>
        <v>Additive manufacturing</v>
      </c>
      <c r="F922" s="24" t="str">
        <f aca="false">Monthly!$A$34</f>
        <v>Precision additive-manufacturing system (high-resolution AM with closed-loop process control)</v>
      </c>
      <c r="G922" s="20" t="n">
        <f aca="false">Monthly!Z$34</f>
        <v>0</v>
      </c>
      <c r="H922" s="24" t="str">
        <f aca="false">ScenarioName</f>
        <v>Base</v>
      </c>
    </row>
    <row r="923" customFormat="false" ht="15" hidden="false" customHeight="false" outlineLevel="0" collapsed="false">
      <c r="A923" s="8" t="n">
        <v>22</v>
      </c>
      <c r="B923" s="39" t="n">
        <f aca="false">EDATE(StartDate,A923-1)</f>
        <v>47027</v>
      </c>
      <c r="C923" s="24" t="str">
        <f aca="false">Monthly!$B$34</f>
        <v>EnergyWave, Inc.</v>
      </c>
      <c r="D923" s="24" t="str">
        <f aca="false">Monthly!$C$34</f>
        <v>Equipment</v>
      </c>
      <c r="E923" s="24" t="str">
        <f aca="false">Monthly!$D$34</f>
        <v>Additive manufacturing</v>
      </c>
      <c r="F923" s="24" t="str">
        <f aca="false">Monthly!$A$34</f>
        <v>Precision additive-manufacturing system (high-resolution AM with closed-loop process control)</v>
      </c>
      <c r="G923" s="20" t="n">
        <f aca="false">Monthly!AA$34</f>
        <v>0</v>
      </c>
      <c r="H923" s="24" t="str">
        <f aca="false">ScenarioName</f>
        <v>Base</v>
      </c>
    </row>
    <row r="924" customFormat="false" ht="15" hidden="false" customHeight="false" outlineLevel="0" collapsed="false">
      <c r="A924" s="8" t="n">
        <v>23</v>
      </c>
      <c r="B924" s="39" t="n">
        <f aca="false">EDATE(StartDate,A924-1)</f>
        <v>47058</v>
      </c>
      <c r="C924" s="24" t="str">
        <f aca="false">Monthly!$B$34</f>
        <v>EnergyWave, Inc.</v>
      </c>
      <c r="D924" s="24" t="str">
        <f aca="false">Monthly!$C$34</f>
        <v>Equipment</v>
      </c>
      <c r="E924" s="24" t="str">
        <f aca="false">Monthly!$D$34</f>
        <v>Additive manufacturing</v>
      </c>
      <c r="F924" s="24" t="str">
        <f aca="false">Monthly!$A$34</f>
        <v>Precision additive-manufacturing system (high-resolution AM with closed-loop process control)</v>
      </c>
      <c r="G924" s="20" t="n">
        <f aca="false">Monthly!AB$34</f>
        <v>0</v>
      </c>
      <c r="H924" s="24" t="str">
        <f aca="false">ScenarioName</f>
        <v>Base</v>
      </c>
    </row>
    <row r="925" customFormat="false" ht="15" hidden="false" customHeight="false" outlineLevel="0" collapsed="false">
      <c r="A925" s="8" t="n">
        <v>24</v>
      </c>
      <c r="B925" s="39" t="n">
        <f aca="false">EDATE(StartDate,A925-1)</f>
        <v>47088</v>
      </c>
      <c r="C925" s="24" t="str">
        <f aca="false">Monthly!$B$34</f>
        <v>EnergyWave, Inc.</v>
      </c>
      <c r="D925" s="24" t="str">
        <f aca="false">Monthly!$C$34</f>
        <v>Equipment</v>
      </c>
      <c r="E925" s="24" t="str">
        <f aca="false">Monthly!$D$34</f>
        <v>Additive manufacturing</v>
      </c>
      <c r="F925" s="24" t="str">
        <f aca="false">Monthly!$A$34</f>
        <v>Precision additive-manufacturing system (high-resolution AM with closed-loop process control)</v>
      </c>
      <c r="G925" s="20" t="n">
        <f aca="false">Monthly!AC$34</f>
        <v>0</v>
      </c>
      <c r="H925" s="24" t="str">
        <f aca="false">ScenarioName</f>
        <v>Base</v>
      </c>
    </row>
    <row r="926" customFormat="false" ht="15" hidden="false" customHeight="false" outlineLevel="0" collapsed="false">
      <c r="A926" s="8" t="n">
        <v>25</v>
      </c>
      <c r="B926" s="39" t="n">
        <f aca="false">EDATE(StartDate,A926-1)</f>
        <v>47119</v>
      </c>
      <c r="C926" s="24" t="str">
        <f aca="false">Monthly!$B$34</f>
        <v>EnergyWave, Inc.</v>
      </c>
      <c r="D926" s="24" t="str">
        <f aca="false">Monthly!$C$34</f>
        <v>Equipment</v>
      </c>
      <c r="E926" s="24" t="str">
        <f aca="false">Monthly!$D$34</f>
        <v>Additive manufacturing</v>
      </c>
      <c r="F926" s="24" t="str">
        <f aca="false">Monthly!$A$34</f>
        <v>Precision additive-manufacturing system (high-resolution AM with closed-loop process control)</v>
      </c>
      <c r="G926" s="20" t="n">
        <f aca="false">Monthly!AD$34</f>
        <v>0</v>
      </c>
      <c r="H926" s="24" t="str">
        <f aca="false">ScenarioName</f>
        <v>Base</v>
      </c>
    </row>
    <row r="927" customFormat="false" ht="15" hidden="false" customHeight="false" outlineLevel="0" collapsed="false">
      <c r="A927" s="8" t="n">
        <v>26</v>
      </c>
      <c r="B927" s="39" t="n">
        <f aca="false">EDATE(StartDate,A927-1)</f>
        <v>47150</v>
      </c>
      <c r="C927" s="24" t="str">
        <f aca="false">Monthly!$B$34</f>
        <v>EnergyWave, Inc.</v>
      </c>
      <c r="D927" s="24" t="str">
        <f aca="false">Monthly!$C$34</f>
        <v>Equipment</v>
      </c>
      <c r="E927" s="24" t="str">
        <f aca="false">Monthly!$D$34</f>
        <v>Additive manufacturing</v>
      </c>
      <c r="F927" s="24" t="str">
        <f aca="false">Monthly!$A$34</f>
        <v>Precision additive-manufacturing system (high-resolution AM with closed-loop process control)</v>
      </c>
      <c r="G927" s="20" t="n">
        <f aca="false">Monthly!AE$34</f>
        <v>0</v>
      </c>
      <c r="H927" s="24" t="str">
        <f aca="false">ScenarioName</f>
        <v>Base</v>
      </c>
    </row>
    <row r="928" customFormat="false" ht="15" hidden="false" customHeight="false" outlineLevel="0" collapsed="false">
      <c r="A928" s="8" t="n">
        <v>27</v>
      </c>
      <c r="B928" s="39" t="n">
        <f aca="false">EDATE(StartDate,A928-1)</f>
        <v>47178</v>
      </c>
      <c r="C928" s="24" t="str">
        <f aca="false">Monthly!$B$34</f>
        <v>EnergyWave, Inc.</v>
      </c>
      <c r="D928" s="24" t="str">
        <f aca="false">Monthly!$C$34</f>
        <v>Equipment</v>
      </c>
      <c r="E928" s="24" t="str">
        <f aca="false">Monthly!$D$34</f>
        <v>Additive manufacturing</v>
      </c>
      <c r="F928" s="24" t="str">
        <f aca="false">Monthly!$A$34</f>
        <v>Precision additive-manufacturing system (high-resolution AM with closed-loop process control)</v>
      </c>
      <c r="G928" s="20" t="n">
        <f aca="false">Monthly!AF$34</f>
        <v>0</v>
      </c>
      <c r="H928" s="24" t="str">
        <f aca="false">ScenarioName</f>
        <v>Base</v>
      </c>
    </row>
    <row r="929" customFormat="false" ht="15" hidden="false" customHeight="false" outlineLevel="0" collapsed="false">
      <c r="A929" s="8" t="n">
        <v>28</v>
      </c>
      <c r="B929" s="39" t="n">
        <f aca="false">EDATE(StartDate,A929-1)</f>
        <v>47209</v>
      </c>
      <c r="C929" s="24" t="str">
        <f aca="false">Monthly!$B$34</f>
        <v>EnergyWave, Inc.</v>
      </c>
      <c r="D929" s="24" t="str">
        <f aca="false">Monthly!$C$34</f>
        <v>Equipment</v>
      </c>
      <c r="E929" s="24" t="str">
        <f aca="false">Monthly!$D$34</f>
        <v>Additive manufacturing</v>
      </c>
      <c r="F929" s="24" t="str">
        <f aca="false">Monthly!$A$34</f>
        <v>Precision additive-manufacturing system (high-resolution AM with closed-loop process control)</v>
      </c>
      <c r="G929" s="20" t="n">
        <f aca="false">Monthly!AG$34</f>
        <v>0</v>
      </c>
      <c r="H929" s="24" t="str">
        <f aca="false">ScenarioName</f>
        <v>Base</v>
      </c>
    </row>
    <row r="930" customFormat="false" ht="15" hidden="false" customHeight="false" outlineLevel="0" collapsed="false">
      <c r="A930" s="8" t="n">
        <v>29</v>
      </c>
      <c r="B930" s="39" t="n">
        <f aca="false">EDATE(StartDate,A930-1)</f>
        <v>47239</v>
      </c>
      <c r="C930" s="24" t="str">
        <f aca="false">Monthly!$B$34</f>
        <v>EnergyWave, Inc.</v>
      </c>
      <c r="D930" s="24" t="str">
        <f aca="false">Monthly!$C$34</f>
        <v>Equipment</v>
      </c>
      <c r="E930" s="24" t="str">
        <f aca="false">Monthly!$D$34</f>
        <v>Additive manufacturing</v>
      </c>
      <c r="F930" s="24" t="str">
        <f aca="false">Monthly!$A$34</f>
        <v>Precision additive-manufacturing system (high-resolution AM with closed-loop process control)</v>
      </c>
      <c r="G930" s="20" t="n">
        <f aca="false">Monthly!AH$34</f>
        <v>0</v>
      </c>
      <c r="H930" s="24" t="str">
        <f aca="false">ScenarioName</f>
        <v>Base</v>
      </c>
    </row>
    <row r="931" customFormat="false" ht="15" hidden="false" customHeight="false" outlineLevel="0" collapsed="false">
      <c r="A931" s="8" t="n">
        <v>30</v>
      </c>
      <c r="B931" s="39" t="n">
        <f aca="false">EDATE(StartDate,A931-1)</f>
        <v>47270</v>
      </c>
      <c r="C931" s="24" t="str">
        <f aca="false">Monthly!$B$34</f>
        <v>EnergyWave, Inc.</v>
      </c>
      <c r="D931" s="24" t="str">
        <f aca="false">Monthly!$C$34</f>
        <v>Equipment</v>
      </c>
      <c r="E931" s="24" t="str">
        <f aca="false">Monthly!$D$34</f>
        <v>Additive manufacturing</v>
      </c>
      <c r="F931" s="24" t="str">
        <f aca="false">Monthly!$A$34</f>
        <v>Precision additive-manufacturing system (high-resolution AM with closed-loop process control)</v>
      </c>
      <c r="G931" s="20" t="n">
        <f aca="false">Monthly!AI$34</f>
        <v>0</v>
      </c>
      <c r="H931" s="24" t="str">
        <f aca="false">ScenarioName</f>
        <v>Base</v>
      </c>
    </row>
    <row r="932" customFormat="false" ht="15" hidden="false" customHeight="false" outlineLevel="0" collapsed="false">
      <c r="A932" s="8" t="n">
        <v>31</v>
      </c>
      <c r="B932" s="39" t="n">
        <f aca="false">EDATE(StartDate,A932-1)</f>
        <v>47300</v>
      </c>
      <c r="C932" s="24" t="str">
        <f aca="false">Monthly!$B$34</f>
        <v>EnergyWave, Inc.</v>
      </c>
      <c r="D932" s="24" t="str">
        <f aca="false">Monthly!$C$34</f>
        <v>Equipment</v>
      </c>
      <c r="E932" s="24" t="str">
        <f aca="false">Monthly!$D$34</f>
        <v>Additive manufacturing</v>
      </c>
      <c r="F932" s="24" t="str">
        <f aca="false">Monthly!$A$34</f>
        <v>Precision additive-manufacturing system (high-resolution AM with closed-loop process control)</v>
      </c>
      <c r="G932" s="20" t="n">
        <f aca="false">Monthly!AJ$34</f>
        <v>0</v>
      </c>
      <c r="H932" s="24" t="str">
        <f aca="false">ScenarioName</f>
        <v>Base</v>
      </c>
    </row>
    <row r="933" customFormat="false" ht="15" hidden="false" customHeight="false" outlineLevel="0" collapsed="false">
      <c r="A933" s="8" t="n">
        <v>32</v>
      </c>
      <c r="B933" s="39" t="n">
        <f aca="false">EDATE(StartDate,A933-1)</f>
        <v>47331</v>
      </c>
      <c r="C933" s="24" t="str">
        <f aca="false">Monthly!$B$34</f>
        <v>EnergyWave, Inc.</v>
      </c>
      <c r="D933" s="24" t="str">
        <f aca="false">Monthly!$C$34</f>
        <v>Equipment</v>
      </c>
      <c r="E933" s="24" t="str">
        <f aca="false">Monthly!$D$34</f>
        <v>Additive manufacturing</v>
      </c>
      <c r="F933" s="24" t="str">
        <f aca="false">Monthly!$A$34</f>
        <v>Precision additive-manufacturing system (high-resolution AM with closed-loop process control)</v>
      </c>
      <c r="G933" s="20" t="n">
        <f aca="false">Monthly!AK$34</f>
        <v>0</v>
      </c>
      <c r="H933" s="24" t="str">
        <f aca="false">ScenarioName</f>
        <v>Base</v>
      </c>
    </row>
    <row r="934" customFormat="false" ht="15" hidden="false" customHeight="false" outlineLevel="0" collapsed="false">
      <c r="A934" s="8" t="n">
        <v>33</v>
      </c>
      <c r="B934" s="39" t="n">
        <f aca="false">EDATE(StartDate,A934-1)</f>
        <v>47362</v>
      </c>
      <c r="C934" s="24" t="str">
        <f aca="false">Monthly!$B$34</f>
        <v>EnergyWave, Inc.</v>
      </c>
      <c r="D934" s="24" t="str">
        <f aca="false">Monthly!$C$34</f>
        <v>Equipment</v>
      </c>
      <c r="E934" s="24" t="str">
        <f aca="false">Monthly!$D$34</f>
        <v>Additive manufacturing</v>
      </c>
      <c r="F934" s="24" t="str">
        <f aca="false">Monthly!$A$34</f>
        <v>Precision additive-manufacturing system (high-resolution AM with closed-loop process control)</v>
      </c>
      <c r="G934" s="20" t="n">
        <f aca="false">Monthly!AL$34</f>
        <v>0</v>
      </c>
      <c r="H934" s="24" t="str">
        <f aca="false">ScenarioName</f>
        <v>Base</v>
      </c>
    </row>
    <row r="935" customFormat="false" ht="15" hidden="false" customHeight="false" outlineLevel="0" collapsed="false">
      <c r="A935" s="8" t="n">
        <v>34</v>
      </c>
      <c r="B935" s="39" t="n">
        <f aca="false">EDATE(StartDate,A935-1)</f>
        <v>47392</v>
      </c>
      <c r="C935" s="24" t="str">
        <f aca="false">Monthly!$B$34</f>
        <v>EnergyWave, Inc.</v>
      </c>
      <c r="D935" s="24" t="str">
        <f aca="false">Monthly!$C$34</f>
        <v>Equipment</v>
      </c>
      <c r="E935" s="24" t="str">
        <f aca="false">Monthly!$D$34</f>
        <v>Additive manufacturing</v>
      </c>
      <c r="F935" s="24" t="str">
        <f aca="false">Monthly!$A$34</f>
        <v>Precision additive-manufacturing system (high-resolution AM with closed-loop process control)</v>
      </c>
      <c r="G935" s="20" t="n">
        <f aca="false">Monthly!AM$34</f>
        <v>0</v>
      </c>
      <c r="H935" s="24" t="str">
        <f aca="false">ScenarioName</f>
        <v>Base</v>
      </c>
    </row>
    <row r="936" customFormat="false" ht="15" hidden="false" customHeight="false" outlineLevel="0" collapsed="false">
      <c r="A936" s="8" t="n">
        <v>35</v>
      </c>
      <c r="B936" s="39" t="n">
        <f aca="false">EDATE(StartDate,A936-1)</f>
        <v>47423</v>
      </c>
      <c r="C936" s="24" t="str">
        <f aca="false">Monthly!$B$34</f>
        <v>EnergyWave, Inc.</v>
      </c>
      <c r="D936" s="24" t="str">
        <f aca="false">Monthly!$C$34</f>
        <v>Equipment</v>
      </c>
      <c r="E936" s="24" t="str">
        <f aca="false">Monthly!$D$34</f>
        <v>Additive manufacturing</v>
      </c>
      <c r="F936" s="24" t="str">
        <f aca="false">Monthly!$A$34</f>
        <v>Precision additive-manufacturing system (high-resolution AM with closed-loop process control)</v>
      </c>
      <c r="G936" s="20" t="n">
        <f aca="false">Monthly!AN$34</f>
        <v>0</v>
      </c>
      <c r="H936" s="24" t="str">
        <f aca="false">ScenarioName</f>
        <v>Base</v>
      </c>
    </row>
    <row r="937" customFormat="false" ht="15" hidden="false" customHeight="false" outlineLevel="0" collapsed="false">
      <c r="A937" s="8" t="n">
        <v>36</v>
      </c>
      <c r="B937" s="39" t="n">
        <f aca="false">EDATE(StartDate,A937-1)</f>
        <v>47453</v>
      </c>
      <c r="C937" s="24" t="str">
        <f aca="false">Monthly!$B$34</f>
        <v>EnergyWave, Inc.</v>
      </c>
      <c r="D937" s="24" t="str">
        <f aca="false">Monthly!$C$34</f>
        <v>Equipment</v>
      </c>
      <c r="E937" s="24" t="str">
        <f aca="false">Monthly!$D$34</f>
        <v>Additive manufacturing</v>
      </c>
      <c r="F937" s="24" t="str">
        <f aca="false">Monthly!$A$34</f>
        <v>Precision additive-manufacturing system (high-resolution AM with closed-loop process control)</v>
      </c>
      <c r="G937" s="20" t="n">
        <f aca="false">Monthly!AO$34</f>
        <v>0</v>
      </c>
      <c r="H937" s="24" t="str">
        <f aca="false">ScenarioName</f>
        <v>Base</v>
      </c>
    </row>
    <row r="938" customFormat="false" ht="15" hidden="false" customHeight="false" outlineLevel="0" collapsed="false">
      <c r="A938" s="8" t="n">
        <v>1</v>
      </c>
      <c r="B938" s="39" t="n">
        <f aca="false">EDATE(StartDate,A938-1)</f>
        <v>46388</v>
      </c>
      <c r="C938" s="24" t="str">
        <f aca="false">Monthly!$B$35</f>
        <v>EnergyWave, Inc.</v>
      </c>
      <c r="D938" s="24" t="str">
        <f aca="false">Monthly!$C$35</f>
        <v>Equipment</v>
      </c>
      <c r="E938" s="24" t="str">
        <f aca="false">Monthly!$D$35</f>
        <v>Additive manufacturing</v>
      </c>
      <c r="F938" s="24" t="str">
        <f aca="false">Monthly!$A$35</f>
        <v>AM service contract &amp; software</v>
      </c>
      <c r="G938" s="20" t="n">
        <f aca="false">Monthly!F$35</f>
        <v>0</v>
      </c>
      <c r="H938" s="24" t="str">
        <f aca="false">ScenarioName</f>
        <v>Base</v>
      </c>
    </row>
    <row r="939" customFormat="false" ht="15" hidden="false" customHeight="false" outlineLevel="0" collapsed="false">
      <c r="A939" s="8" t="n">
        <v>2</v>
      </c>
      <c r="B939" s="39" t="n">
        <f aca="false">EDATE(StartDate,A939-1)</f>
        <v>46419</v>
      </c>
      <c r="C939" s="24" t="str">
        <f aca="false">Monthly!$B$35</f>
        <v>EnergyWave, Inc.</v>
      </c>
      <c r="D939" s="24" t="str">
        <f aca="false">Monthly!$C$35</f>
        <v>Equipment</v>
      </c>
      <c r="E939" s="24" t="str">
        <f aca="false">Monthly!$D$35</f>
        <v>Additive manufacturing</v>
      </c>
      <c r="F939" s="24" t="str">
        <f aca="false">Monthly!$A$35</f>
        <v>AM service contract &amp; software</v>
      </c>
      <c r="G939" s="20" t="n">
        <f aca="false">Monthly!G$35</f>
        <v>0</v>
      </c>
      <c r="H939" s="24" t="str">
        <f aca="false">ScenarioName</f>
        <v>Base</v>
      </c>
    </row>
    <row r="940" customFormat="false" ht="15" hidden="false" customHeight="false" outlineLevel="0" collapsed="false">
      <c r="A940" s="8" t="n">
        <v>3</v>
      </c>
      <c r="B940" s="39" t="n">
        <f aca="false">EDATE(StartDate,A940-1)</f>
        <v>46447</v>
      </c>
      <c r="C940" s="24" t="str">
        <f aca="false">Monthly!$B$35</f>
        <v>EnergyWave, Inc.</v>
      </c>
      <c r="D940" s="24" t="str">
        <f aca="false">Monthly!$C$35</f>
        <v>Equipment</v>
      </c>
      <c r="E940" s="24" t="str">
        <f aca="false">Monthly!$D$35</f>
        <v>Additive manufacturing</v>
      </c>
      <c r="F940" s="24" t="str">
        <f aca="false">Monthly!$A$35</f>
        <v>AM service contract &amp; software</v>
      </c>
      <c r="G940" s="20" t="n">
        <f aca="false">Monthly!H$35</f>
        <v>0</v>
      </c>
      <c r="H940" s="24" t="str">
        <f aca="false">ScenarioName</f>
        <v>Base</v>
      </c>
    </row>
    <row r="941" customFormat="false" ht="15" hidden="false" customHeight="false" outlineLevel="0" collapsed="false">
      <c r="A941" s="8" t="n">
        <v>4</v>
      </c>
      <c r="B941" s="39" t="n">
        <f aca="false">EDATE(StartDate,A941-1)</f>
        <v>46478</v>
      </c>
      <c r="C941" s="24" t="str">
        <f aca="false">Monthly!$B$35</f>
        <v>EnergyWave, Inc.</v>
      </c>
      <c r="D941" s="24" t="str">
        <f aca="false">Monthly!$C$35</f>
        <v>Equipment</v>
      </c>
      <c r="E941" s="24" t="str">
        <f aca="false">Monthly!$D$35</f>
        <v>Additive manufacturing</v>
      </c>
      <c r="F941" s="24" t="str">
        <f aca="false">Monthly!$A$35</f>
        <v>AM service contract &amp; software</v>
      </c>
      <c r="G941" s="20" t="n">
        <f aca="false">Monthly!I$35</f>
        <v>3333.33333333333</v>
      </c>
      <c r="H941" s="24" t="str">
        <f aca="false">ScenarioName</f>
        <v>Base</v>
      </c>
    </row>
    <row r="942" customFormat="false" ht="15" hidden="false" customHeight="false" outlineLevel="0" collapsed="false">
      <c r="A942" s="8" t="n">
        <v>5</v>
      </c>
      <c r="B942" s="39" t="n">
        <f aca="false">EDATE(StartDate,A942-1)</f>
        <v>46508</v>
      </c>
      <c r="C942" s="24" t="str">
        <f aca="false">Monthly!$B$35</f>
        <v>EnergyWave, Inc.</v>
      </c>
      <c r="D942" s="24" t="str">
        <f aca="false">Monthly!$C$35</f>
        <v>Equipment</v>
      </c>
      <c r="E942" s="24" t="str">
        <f aca="false">Monthly!$D$35</f>
        <v>Additive manufacturing</v>
      </c>
      <c r="F942" s="24" t="str">
        <f aca="false">Monthly!$A$35</f>
        <v>AM service contract &amp; software</v>
      </c>
      <c r="G942" s="20" t="n">
        <f aca="false">Monthly!J$35</f>
        <v>3333.33333333333</v>
      </c>
      <c r="H942" s="24" t="str">
        <f aca="false">ScenarioName</f>
        <v>Base</v>
      </c>
    </row>
    <row r="943" customFormat="false" ht="15" hidden="false" customHeight="false" outlineLevel="0" collapsed="false">
      <c r="A943" s="8" t="n">
        <v>6</v>
      </c>
      <c r="B943" s="39" t="n">
        <f aca="false">EDATE(StartDate,A943-1)</f>
        <v>46539</v>
      </c>
      <c r="C943" s="24" t="str">
        <f aca="false">Monthly!$B$35</f>
        <v>EnergyWave, Inc.</v>
      </c>
      <c r="D943" s="24" t="str">
        <f aca="false">Monthly!$C$35</f>
        <v>Equipment</v>
      </c>
      <c r="E943" s="24" t="str">
        <f aca="false">Monthly!$D$35</f>
        <v>Additive manufacturing</v>
      </c>
      <c r="F943" s="24" t="str">
        <f aca="false">Monthly!$A$35</f>
        <v>AM service contract &amp; software</v>
      </c>
      <c r="G943" s="20" t="n">
        <f aca="false">Monthly!K$35</f>
        <v>3333.33333333333</v>
      </c>
      <c r="H943" s="24" t="str">
        <f aca="false">ScenarioName</f>
        <v>Base</v>
      </c>
    </row>
    <row r="944" customFormat="false" ht="15" hidden="false" customHeight="false" outlineLevel="0" collapsed="false">
      <c r="A944" s="8" t="n">
        <v>7</v>
      </c>
      <c r="B944" s="39" t="n">
        <f aca="false">EDATE(StartDate,A944-1)</f>
        <v>46569</v>
      </c>
      <c r="C944" s="24" t="str">
        <f aca="false">Monthly!$B$35</f>
        <v>EnergyWave, Inc.</v>
      </c>
      <c r="D944" s="24" t="str">
        <f aca="false">Monthly!$C$35</f>
        <v>Equipment</v>
      </c>
      <c r="E944" s="24" t="str">
        <f aca="false">Monthly!$D$35</f>
        <v>Additive manufacturing</v>
      </c>
      <c r="F944" s="24" t="str">
        <f aca="false">Monthly!$A$35</f>
        <v>AM service contract &amp; software</v>
      </c>
      <c r="G944" s="20" t="n">
        <f aca="false">Monthly!L$35</f>
        <v>3333.33333333333</v>
      </c>
      <c r="H944" s="24" t="str">
        <f aca="false">ScenarioName</f>
        <v>Base</v>
      </c>
    </row>
    <row r="945" customFormat="false" ht="15" hidden="false" customHeight="false" outlineLevel="0" collapsed="false">
      <c r="A945" s="8" t="n">
        <v>8</v>
      </c>
      <c r="B945" s="39" t="n">
        <f aca="false">EDATE(StartDate,A945-1)</f>
        <v>46600</v>
      </c>
      <c r="C945" s="24" t="str">
        <f aca="false">Monthly!$B$35</f>
        <v>EnergyWave, Inc.</v>
      </c>
      <c r="D945" s="24" t="str">
        <f aca="false">Monthly!$C$35</f>
        <v>Equipment</v>
      </c>
      <c r="E945" s="24" t="str">
        <f aca="false">Monthly!$D$35</f>
        <v>Additive manufacturing</v>
      </c>
      <c r="F945" s="24" t="str">
        <f aca="false">Monthly!$A$35</f>
        <v>AM service contract &amp; software</v>
      </c>
      <c r="G945" s="20" t="n">
        <f aca="false">Monthly!M$35</f>
        <v>3333.33333333333</v>
      </c>
      <c r="H945" s="24" t="str">
        <f aca="false">ScenarioName</f>
        <v>Base</v>
      </c>
    </row>
    <row r="946" customFormat="false" ht="15" hidden="false" customHeight="false" outlineLevel="0" collapsed="false">
      <c r="A946" s="8" t="n">
        <v>9</v>
      </c>
      <c r="B946" s="39" t="n">
        <f aca="false">EDATE(StartDate,A946-1)</f>
        <v>46631</v>
      </c>
      <c r="C946" s="24" t="str">
        <f aca="false">Monthly!$B$35</f>
        <v>EnergyWave, Inc.</v>
      </c>
      <c r="D946" s="24" t="str">
        <f aca="false">Monthly!$C$35</f>
        <v>Equipment</v>
      </c>
      <c r="E946" s="24" t="str">
        <f aca="false">Monthly!$D$35</f>
        <v>Additive manufacturing</v>
      </c>
      <c r="F946" s="24" t="str">
        <f aca="false">Monthly!$A$35</f>
        <v>AM service contract &amp; software</v>
      </c>
      <c r="G946" s="20" t="n">
        <f aca="false">Monthly!N$35</f>
        <v>3333.33333333333</v>
      </c>
      <c r="H946" s="24" t="str">
        <f aca="false">ScenarioName</f>
        <v>Base</v>
      </c>
    </row>
    <row r="947" customFormat="false" ht="15" hidden="false" customHeight="false" outlineLevel="0" collapsed="false">
      <c r="A947" s="8" t="n">
        <v>10</v>
      </c>
      <c r="B947" s="39" t="n">
        <f aca="false">EDATE(StartDate,A947-1)</f>
        <v>46661</v>
      </c>
      <c r="C947" s="24" t="str">
        <f aca="false">Monthly!$B$35</f>
        <v>EnergyWave, Inc.</v>
      </c>
      <c r="D947" s="24" t="str">
        <f aca="false">Monthly!$C$35</f>
        <v>Equipment</v>
      </c>
      <c r="E947" s="24" t="str">
        <f aca="false">Monthly!$D$35</f>
        <v>Additive manufacturing</v>
      </c>
      <c r="F947" s="24" t="str">
        <f aca="false">Monthly!$A$35</f>
        <v>AM service contract &amp; software</v>
      </c>
      <c r="G947" s="20" t="n">
        <f aca="false">Monthly!O$35</f>
        <v>3333.33333333333</v>
      </c>
      <c r="H947" s="24" t="str">
        <f aca="false">ScenarioName</f>
        <v>Base</v>
      </c>
    </row>
    <row r="948" customFormat="false" ht="15" hidden="false" customHeight="false" outlineLevel="0" collapsed="false">
      <c r="A948" s="8" t="n">
        <v>11</v>
      </c>
      <c r="B948" s="39" t="n">
        <f aca="false">EDATE(StartDate,A948-1)</f>
        <v>46692</v>
      </c>
      <c r="C948" s="24" t="str">
        <f aca="false">Monthly!$B$35</f>
        <v>EnergyWave, Inc.</v>
      </c>
      <c r="D948" s="24" t="str">
        <f aca="false">Monthly!$C$35</f>
        <v>Equipment</v>
      </c>
      <c r="E948" s="24" t="str">
        <f aca="false">Monthly!$D$35</f>
        <v>Additive manufacturing</v>
      </c>
      <c r="F948" s="24" t="str">
        <f aca="false">Monthly!$A$35</f>
        <v>AM service contract &amp; software</v>
      </c>
      <c r="G948" s="20" t="n">
        <f aca="false">Monthly!P$35</f>
        <v>3333.33333333333</v>
      </c>
      <c r="H948" s="24" t="str">
        <f aca="false">ScenarioName</f>
        <v>Base</v>
      </c>
    </row>
    <row r="949" customFormat="false" ht="15" hidden="false" customHeight="false" outlineLevel="0" collapsed="false">
      <c r="A949" s="8" t="n">
        <v>12</v>
      </c>
      <c r="B949" s="39" t="n">
        <f aca="false">EDATE(StartDate,A949-1)</f>
        <v>46722</v>
      </c>
      <c r="C949" s="24" t="str">
        <f aca="false">Monthly!$B$35</f>
        <v>EnergyWave, Inc.</v>
      </c>
      <c r="D949" s="24" t="str">
        <f aca="false">Monthly!$C$35</f>
        <v>Equipment</v>
      </c>
      <c r="E949" s="24" t="str">
        <f aca="false">Monthly!$D$35</f>
        <v>Additive manufacturing</v>
      </c>
      <c r="F949" s="24" t="str">
        <f aca="false">Monthly!$A$35</f>
        <v>AM service contract &amp; software</v>
      </c>
      <c r="G949" s="20" t="n">
        <f aca="false">Monthly!Q$35</f>
        <v>3333.33333333333</v>
      </c>
      <c r="H949" s="24" t="str">
        <f aca="false">ScenarioName</f>
        <v>Base</v>
      </c>
    </row>
    <row r="950" customFormat="false" ht="15" hidden="false" customHeight="false" outlineLevel="0" collapsed="false">
      <c r="A950" s="8" t="n">
        <v>13</v>
      </c>
      <c r="B950" s="39" t="n">
        <f aca="false">EDATE(StartDate,A950-1)</f>
        <v>46753</v>
      </c>
      <c r="C950" s="24" t="str">
        <f aca="false">Monthly!$B$35</f>
        <v>EnergyWave, Inc.</v>
      </c>
      <c r="D950" s="24" t="str">
        <f aca="false">Monthly!$C$35</f>
        <v>Equipment</v>
      </c>
      <c r="E950" s="24" t="str">
        <f aca="false">Monthly!$D$35</f>
        <v>Additive manufacturing</v>
      </c>
      <c r="F950" s="24" t="str">
        <f aca="false">Monthly!$A$35</f>
        <v>AM service contract &amp; software</v>
      </c>
      <c r="G950" s="20" t="n">
        <f aca="false">Monthly!R$35</f>
        <v>3333.33333333333</v>
      </c>
      <c r="H950" s="24" t="str">
        <f aca="false">ScenarioName</f>
        <v>Base</v>
      </c>
    </row>
    <row r="951" customFormat="false" ht="15" hidden="false" customHeight="false" outlineLevel="0" collapsed="false">
      <c r="A951" s="8" t="n">
        <v>14</v>
      </c>
      <c r="B951" s="39" t="n">
        <f aca="false">EDATE(StartDate,A951-1)</f>
        <v>46784</v>
      </c>
      <c r="C951" s="24" t="str">
        <f aca="false">Monthly!$B$35</f>
        <v>EnergyWave, Inc.</v>
      </c>
      <c r="D951" s="24" t="str">
        <f aca="false">Monthly!$C$35</f>
        <v>Equipment</v>
      </c>
      <c r="E951" s="24" t="str">
        <f aca="false">Monthly!$D$35</f>
        <v>Additive manufacturing</v>
      </c>
      <c r="F951" s="24" t="str">
        <f aca="false">Monthly!$A$35</f>
        <v>AM service contract &amp; software</v>
      </c>
      <c r="G951" s="20" t="n">
        <f aca="false">Monthly!S$35</f>
        <v>3333.33333333333</v>
      </c>
      <c r="H951" s="24" t="str">
        <f aca="false">ScenarioName</f>
        <v>Base</v>
      </c>
    </row>
    <row r="952" customFormat="false" ht="15" hidden="false" customHeight="false" outlineLevel="0" collapsed="false">
      <c r="A952" s="8" t="n">
        <v>15</v>
      </c>
      <c r="B952" s="39" t="n">
        <f aca="false">EDATE(StartDate,A952-1)</f>
        <v>46813</v>
      </c>
      <c r="C952" s="24" t="str">
        <f aca="false">Monthly!$B$35</f>
        <v>EnergyWave, Inc.</v>
      </c>
      <c r="D952" s="24" t="str">
        <f aca="false">Monthly!$C$35</f>
        <v>Equipment</v>
      </c>
      <c r="E952" s="24" t="str">
        <f aca="false">Monthly!$D$35</f>
        <v>Additive manufacturing</v>
      </c>
      <c r="F952" s="24" t="str">
        <f aca="false">Monthly!$A$35</f>
        <v>AM service contract &amp; software</v>
      </c>
      <c r="G952" s="20" t="n">
        <f aca="false">Monthly!T$35</f>
        <v>3333.33333333333</v>
      </c>
      <c r="H952" s="24" t="str">
        <f aca="false">ScenarioName</f>
        <v>Base</v>
      </c>
    </row>
    <row r="953" customFormat="false" ht="15" hidden="false" customHeight="false" outlineLevel="0" collapsed="false">
      <c r="A953" s="8" t="n">
        <v>16</v>
      </c>
      <c r="B953" s="39" t="n">
        <f aca="false">EDATE(StartDate,A953-1)</f>
        <v>46844</v>
      </c>
      <c r="C953" s="24" t="str">
        <f aca="false">Monthly!$B$35</f>
        <v>EnergyWave, Inc.</v>
      </c>
      <c r="D953" s="24" t="str">
        <f aca="false">Monthly!$C$35</f>
        <v>Equipment</v>
      </c>
      <c r="E953" s="24" t="str">
        <f aca="false">Monthly!$D$35</f>
        <v>Additive manufacturing</v>
      </c>
      <c r="F953" s="24" t="str">
        <f aca="false">Monthly!$A$35</f>
        <v>AM service contract &amp; software</v>
      </c>
      <c r="G953" s="20" t="n">
        <f aca="false">Monthly!U$35</f>
        <v>3333.33333333333</v>
      </c>
      <c r="H953" s="24" t="str">
        <f aca="false">ScenarioName</f>
        <v>Base</v>
      </c>
    </row>
    <row r="954" customFormat="false" ht="15" hidden="false" customHeight="false" outlineLevel="0" collapsed="false">
      <c r="A954" s="8" t="n">
        <v>17</v>
      </c>
      <c r="B954" s="39" t="n">
        <f aca="false">EDATE(StartDate,A954-1)</f>
        <v>46874</v>
      </c>
      <c r="C954" s="24" t="str">
        <f aca="false">Monthly!$B$35</f>
        <v>EnergyWave, Inc.</v>
      </c>
      <c r="D954" s="24" t="str">
        <f aca="false">Monthly!$C$35</f>
        <v>Equipment</v>
      </c>
      <c r="E954" s="24" t="str">
        <f aca="false">Monthly!$D$35</f>
        <v>Additive manufacturing</v>
      </c>
      <c r="F954" s="24" t="str">
        <f aca="false">Monthly!$A$35</f>
        <v>AM service contract &amp; software</v>
      </c>
      <c r="G954" s="20" t="n">
        <f aca="false">Monthly!V$35</f>
        <v>3333.33333333333</v>
      </c>
      <c r="H954" s="24" t="str">
        <f aca="false">ScenarioName</f>
        <v>Base</v>
      </c>
    </row>
    <row r="955" customFormat="false" ht="15" hidden="false" customHeight="false" outlineLevel="0" collapsed="false">
      <c r="A955" s="8" t="n">
        <v>18</v>
      </c>
      <c r="B955" s="39" t="n">
        <f aca="false">EDATE(StartDate,A955-1)</f>
        <v>46905</v>
      </c>
      <c r="C955" s="24" t="str">
        <f aca="false">Monthly!$B$35</f>
        <v>EnergyWave, Inc.</v>
      </c>
      <c r="D955" s="24" t="str">
        <f aca="false">Monthly!$C$35</f>
        <v>Equipment</v>
      </c>
      <c r="E955" s="24" t="str">
        <f aca="false">Monthly!$D$35</f>
        <v>Additive manufacturing</v>
      </c>
      <c r="F955" s="24" t="str">
        <f aca="false">Monthly!$A$35</f>
        <v>AM service contract &amp; software</v>
      </c>
      <c r="G955" s="20" t="n">
        <f aca="false">Monthly!W$35</f>
        <v>3333.33333333333</v>
      </c>
      <c r="H955" s="24" t="str">
        <f aca="false">ScenarioName</f>
        <v>Base</v>
      </c>
    </row>
    <row r="956" customFormat="false" ht="15" hidden="false" customHeight="false" outlineLevel="0" collapsed="false">
      <c r="A956" s="8" t="n">
        <v>19</v>
      </c>
      <c r="B956" s="39" t="n">
        <f aca="false">EDATE(StartDate,A956-1)</f>
        <v>46935</v>
      </c>
      <c r="C956" s="24" t="str">
        <f aca="false">Monthly!$B$35</f>
        <v>EnergyWave, Inc.</v>
      </c>
      <c r="D956" s="24" t="str">
        <f aca="false">Monthly!$C$35</f>
        <v>Equipment</v>
      </c>
      <c r="E956" s="24" t="str">
        <f aca="false">Monthly!$D$35</f>
        <v>Additive manufacturing</v>
      </c>
      <c r="F956" s="24" t="str">
        <f aca="false">Monthly!$A$35</f>
        <v>AM service contract &amp; software</v>
      </c>
      <c r="G956" s="20" t="n">
        <f aca="false">Monthly!X$35</f>
        <v>3333.33333333333</v>
      </c>
      <c r="H956" s="24" t="str">
        <f aca="false">ScenarioName</f>
        <v>Base</v>
      </c>
    </row>
    <row r="957" customFormat="false" ht="15" hidden="false" customHeight="false" outlineLevel="0" collapsed="false">
      <c r="A957" s="8" t="n">
        <v>20</v>
      </c>
      <c r="B957" s="39" t="n">
        <f aca="false">EDATE(StartDate,A957-1)</f>
        <v>46966</v>
      </c>
      <c r="C957" s="24" t="str">
        <f aca="false">Monthly!$B$35</f>
        <v>EnergyWave, Inc.</v>
      </c>
      <c r="D957" s="24" t="str">
        <f aca="false">Monthly!$C$35</f>
        <v>Equipment</v>
      </c>
      <c r="E957" s="24" t="str">
        <f aca="false">Monthly!$D$35</f>
        <v>Additive manufacturing</v>
      </c>
      <c r="F957" s="24" t="str">
        <f aca="false">Monthly!$A$35</f>
        <v>AM service contract &amp; software</v>
      </c>
      <c r="G957" s="20" t="n">
        <f aca="false">Monthly!Y$35</f>
        <v>3333.33333333333</v>
      </c>
      <c r="H957" s="24" t="str">
        <f aca="false">ScenarioName</f>
        <v>Base</v>
      </c>
    </row>
    <row r="958" customFormat="false" ht="15" hidden="false" customHeight="false" outlineLevel="0" collapsed="false">
      <c r="A958" s="8" t="n">
        <v>21</v>
      </c>
      <c r="B958" s="39" t="n">
        <f aca="false">EDATE(StartDate,A958-1)</f>
        <v>46997</v>
      </c>
      <c r="C958" s="24" t="str">
        <f aca="false">Monthly!$B$35</f>
        <v>EnergyWave, Inc.</v>
      </c>
      <c r="D958" s="24" t="str">
        <f aca="false">Monthly!$C$35</f>
        <v>Equipment</v>
      </c>
      <c r="E958" s="24" t="str">
        <f aca="false">Monthly!$D$35</f>
        <v>Additive manufacturing</v>
      </c>
      <c r="F958" s="24" t="str">
        <f aca="false">Monthly!$A$35</f>
        <v>AM service contract &amp; software</v>
      </c>
      <c r="G958" s="20" t="n">
        <f aca="false">Monthly!Z$35</f>
        <v>3333.33333333333</v>
      </c>
      <c r="H958" s="24" t="str">
        <f aca="false">ScenarioName</f>
        <v>Base</v>
      </c>
    </row>
    <row r="959" customFormat="false" ht="15" hidden="false" customHeight="false" outlineLevel="0" collapsed="false">
      <c r="A959" s="8" t="n">
        <v>22</v>
      </c>
      <c r="B959" s="39" t="n">
        <f aca="false">EDATE(StartDate,A959-1)</f>
        <v>47027</v>
      </c>
      <c r="C959" s="24" t="str">
        <f aca="false">Monthly!$B$35</f>
        <v>EnergyWave, Inc.</v>
      </c>
      <c r="D959" s="24" t="str">
        <f aca="false">Monthly!$C$35</f>
        <v>Equipment</v>
      </c>
      <c r="E959" s="24" t="str">
        <f aca="false">Monthly!$D$35</f>
        <v>Additive manufacturing</v>
      </c>
      <c r="F959" s="24" t="str">
        <f aca="false">Monthly!$A$35</f>
        <v>AM service contract &amp; software</v>
      </c>
      <c r="G959" s="20" t="n">
        <f aca="false">Monthly!AA$35</f>
        <v>3333.33333333333</v>
      </c>
      <c r="H959" s="24" t="str">
        <f aca="false">ScenarioName</f>
        <v>Base</v>
      </c>
    </row>
    <row r="960" customFormat="false" ht="15" hidden="false" customHeight="false" outlineLevel="0" collapsed="false">
      <c r="A960" s="8" t="n">
        <v>23</v>
      </c>
      <c r="B960" s="39" t="n">
        <f aca="false">EDATE(StartDate,A960-1)</f>
        <v>47058</v>
      </c>
      <c r="C960" s="24" t="str">
        <f aca="false">Monthly!$B$35</f>
        <v>EnergyWave, Inc.</v>
      </c>
      <c r="D960" s="24" t="str">
        <f aca="false">Monthly!$C$35</f>
        <v>Equipment</v>
      </c>
      <c r="E960" s="24" t="str">
        <f aca="false">Monthly!$D$35</f>
        <v>Additive manufacturing</v>
      </c>
      <c r="F960" s="24" t="str">
        <f aca="false">Monthly!$A$35</f>
        <v>AM service contract &amp; software</v>
      </c>
      <c r="G960" s="20" t="n">
        <f aca="false">Monthly!AB$35</f>
        <v>3333.33333333333</v>
      </c>
      <c r="H960" s="24" t="str">
        <f aca="false">ScenarioName</f>
        <v>Base</v>
      </c>
    </row>
    <row r="961" customFormat="false" ht="15" hidden="false" customHeight="false" outlineLevel="0" collapsed="false">
      <c r="A961" s="8" t="n">
        <v>24</v>
      </c>
      <c r="B961" s="39" t="n">
        <f aca="false">EDATE(StartDate,A961-1)</f>
        <v>47088</v>
      </c>
      <c r="C961" s="24" t="str">
        <f aca="false">Monthly!$B$35</f>
        <v>EnergyWave, Inc.</v>
      </c>
      <c r="D961" s="24" t="str">
        <f aca="false">Monthly!$C$35</f>
        <v>Equipment</v>
      </c>
      <c r="E961" s="24" t="str">
        <f aca="false">Monthly!$D$35</f>
        <v>Additive manufacturing</v>
      </c>
      <c r="F961" s="24" t="str">
        <f aca="false">Monthly!$A$35</f>
        <v>AM service contract &amp; software</v>
      </c>
      <c r="G961" s="20" t="n">
        <f aca="false">Monthly!AC$35</f>
        <v>3333.33333333333</v>
      </c>
      <c r="H961" s="24" t="str">
        <f aca="false">ScenarioName</f>
        <v>Base</v>
      </c>
    </row>
    <row r="962" customFormat="false" ht="15" hidden="false" customHeight="false" outlineLevel="0" collapsed="false">
      <c r="A962" s="8" t="n">
        <v>25</v>
      </c>
      <c r="B962" s="39" t="n">
        <f aca="false">EDATE(StartDate,A962-1)</f>
        <v>47119</v>
      </c>
      <c r="C962" s="24" t="str">
        <f aca="false">Monthly!$B$35</f>
        <v>EnergyWave, Inc.</v>
      </c>
      <c r="D962" s="24" t="str">
        <f aca="false">Monthly!$C$35</f>
        <v>Equipment</v>
      </c>
      <c r="E962" s="24" t="str">
        <f aca="false">Monthly!$D$35</f>
        <v>Additive manufacturing</v>
      </c>
      <c r="F962" s="24" t="str">
        <f aca="false">Monthly!$A$35</f>
        <v>AM service contract &amp; software</v>
      </c>
      <c r="G962" s="20" t="n">
        <f aca="false">Monthly!AD$35</f>
        <v>3333.33333333333</v>
      </c>
      <c r="H962" s="24" t="str">
        <f aca="false">ScenarioName</f>
        <v>Base</v>
      </c>
    </row>
    <row r="963" customFormat="false" ht="15" hidden="false" customHeight="false" outlineLevel="0" collapsed="false">
      <c r="A963" s="8" t="n">
        <v>26</v>
      </c>
      <c r="B963" s="39" t="n">
        <f aca="false">EDATE(StartDate,A963-1)</f>
        <v>47150</v>
      </c>
      <c r="C963" s="24" t="str">
        <f aca="false">Monthly!$B$35</f>
        <v>EnergyWave, Inc.</v>
      </c>
      <c r="D963" s="24" t="str">
        <f aca="false">Monthly!$C$35</f>
        <v>Equipment</v>
      </c>
      <c r="E963" s="24" t="str">
        <f aca="false">Monthly!$D$35</f>
        <v>Additive manufacturing</v>
      </c>
      <c r="F963" s="24" t="str">
        <f aca="false">Monthly!$A$35</f>
        <v>AM service contract &amp; software</v>
      </c>
      <c r="G963" s="20" t="n">
        <f aca="false">Monthly!AE$35</f>
        <v>3333.33333333333</v>
      </c>
      <c r="H963" s="24" t="str">
        <f aca="false">ScenarioName</f>
        <v>Base</v>
      </c>
    </row>
    <row r="964" customFormat="false" ht="15" hidden="false" customHeight="false" outlineLevel="0" collapsed="false">
      <c r="A964" s="8" t="n">
        <v>27</v>
      </c>
      <c r="B964" s="39" t="n">
        <f aca="false">EDATE(StartDate,A964-1)</f>
        <v>47178</v>
      </c>
      <c r="C964" s="24" t="str">
        <f aca="false">Monthly!$B$35</f>
        <v>EnergyWave, Inc.</v>
      </c>
      <c r="D964" s="24" t="str">
        <f aca="false">Monthly!$C$35</f>
        <v>Equipment</v>
      </c>
      <c r="E964" s="24" t="str">
        <f aca="false">Monthly!$D$35</f>
        <v>Additive manufacturing</v>
      </c>
      <c r="F964" s="24" t="str">
        <f aca="false">Monthly!$A$35</f>
        <v>AM service contract &amp; software</v>
      </c>
      <c r="G964" s="20" t="n">
        <f aca="false">Monthly!AF$35</f>
        <v>3333.33333333333</v>
      </c>
      <c r="H964" s="24" t="str">
        <f aca="false">ScenarioName</f>
        <v>Base</v>
      </c>
    </row>
    <row r="965" customFormat="false" ht="15" hidden="false" customHeight="false" outlineLevel="0" collapsed="false">
      <c r="A965" s="8" t="n">
        <v>28</v>
      </c>
      <c r="B965" s="39" t="n">
        <f aca="false">EDATE(StartDate,A965-1)</f>
        <v>47209</v>
      </c>
      <c r="C965" s="24" t="str">
        <f aca="false">Monthly!$B$35</f>
        <v>EnergyWave, Inc.</v>
      </c>
      <c r="D965" s="24" t="str">
        <f aca="false">Monthly!$C$35</f>
        <v>Equipment</v>
      </c>
      <c r="E965" s="24" t="str">
        <f aca="false">Monthly!$D$35</f>
        <v>Additive manufacturing</v>
      </c>
      <c r="F965" s="24" t="str">
        <f aca="false">Monthly!$A$35</f>
        <v>AM service contract &amp; software</v>
      </c>
      <c r="G965" s="20" t="n">
        <f aca="false">Monthly!AG$35</f>
        <v>3333.33333333333</v>
      </c>
      <c r="H965" s="24" t="str">
        <f aca="false">ScenarioName</f>
        <v>Base</v>
      </c>
    </row>
    <row r="966" customFormat="false" ht="15" hidden="false" customHeight="false" outlineLevel="0" collapsed="false">
      <c r="A966" s="8" t="n">
        <v>29</v>
      </c>
      <c r="B966" s="39" t="n">
        <f aca="false">EDATE(StartDate,A966-1)</f>
        <v>47239</v>
      </c>
      <c r="C966" s="24" t="str">
        <f aca="false">Monthly!$B$35</f>
        <v>EnergyWave, Inc.</v>
      </c>
      <c r="D966" s="24" t="str">
        <f aca="false">Monthly!$C$35</f>
        <v>Equipment</v>
      </c>
      <c r="E966" s="24" t="str">
        <f aca="false">Monthly!$D$35</f>
        <v>Additive manufacturing</v>
      </c>
      <c r="F966" s="24" t="str">
        <f aca="false">Monthly!$A$35</f>
        <v>AM service contract &amp; software</v>
      </c>
      <c r="G966" s="20" t="n">
        <f aca="false">Monthly!AH$35</f>
        <v>3333.33333333333</v>
      </c>
      <c r="H966" s="24" t="str">
        <f aca="false">ScenarioName</f>
        <v>Base</v>
      </c>
    </row>
    <row r="967" customFormat="false" ht="15" hidden="false" customHeight="false" outlineLevel="0" collapsed="false">
      <c r="A967" s="8" t="n">
        <v>30</v>
      </c>
      <c r="B967" s="39" t="n">
        <f aca="false">EDATE(StartDate,A967-1)</f>
        <v>47270</v>
      </c>
      <c r="C967" s="24" t="str">
        <f aca="false">Monthly!$B$35</f>
        <v>EnergyWave, Inc.</v>
      </c>
      <c r="D967" s="24" t="str">
        <f aca="false">Monthly!$C$35</f>
        <v>Equipment</v>
      </c>
      <c r="E967" s="24" t="str">
        <f aca="false">Monthly!$D$35</f>
        <v>Additive manufacturing</v>
      </c>
      <c r="F967" s="24" t="str">
        <f aca="false">Monthly!$A$35</f>
        <v>AM service contract &amp; software</v>
      </c>
      <c r="G967" s="20" t="n">
        <f aca="false">Monthly!AI$35</f>
        <v>3333.33333333333</v>
      </c>
      <c r="H967" s="24" t="str">
        <f aca="false">ScenarioName</f>
        <v>Base</v>
      </c>
    </row>
    <row r="968" customFormat="false" ht="15" hidden="false" customHeight="false" outlineLevel="0" collapsed="false">
      <c r="A968" s="8" t="n">
        <v>31</v>
      </c>
      <c r="B968" s="39" t="n">
        <f aca="false">EDATE(StartDate,A968-1)</f>
        <v>47300</v>
      </c>
      <c r="C968" s="24" t="str">
        <f aca="false">Monthly!$B$35</f>
        <v>EnergyWave, Inc.</v>
      </c>
      <c r="D968" s="24" t="str">
        <f aca="false">Monthly!$C$35</f>
        <v>Equipment</v>
      </c>
      <c r="E968" s="24" t="str">
        <f aca="false">Monthly!$D$35</f>
        <v>Additive manufacturing</v>
      </c>
      <c r="F968" s="24" t="str">
        <f aca="false">Monthly!$A$35</f>
        <v>AM service contract &amp; software</v>
      </c>
      <c r="G968" s="20" t="n">
        <f aca="false">Monthly!AJ$35</f>
        <v>3333.33333333333</v>
      </c>
      <c r="H968" s="24" t="str">
        <f aca="false">ScenarioName</f>
        <v>Base</v>
      </c>
    </row>
    <row r="969" customFormat="false" ht="15" hidden="false" customHeight="false" outlineLevel="0" collapsed="false">
      <c r="A969" s="8" t="n">
        <v>32</v>
      </c>
      <c r="B969" s="39" t="n">
        <f aca="false">EDATE(StartDate,A969-1)</f>
        <v>47331</v>
      </c>
      <c r="C969" s="24" t="str">
        <f aca="false">Monthly!$B$35</f>
        <v>EnergyWave, Inc.</v>
      </c>
      <c r="D969" s="24" t="str">
        <f aca="false">Monthly!$C$35</f>
        <v>Equipment</v>
      </c>
      <c r="E969" s="24" t="str">
        <f aca="false">Monthly!$D$35</f>
        <v>Additive manufacturing</v>
      </c>
      <c r="F969" s="24" t="str">
        <f aca="false">Monthly!$A$35</f>
        <v>AM service contract &amp; software</v>
      </c>
      <c r="G969" s="20" t="n">
        <f aca="false">Monthly!AK$35</f>
        <v>3333.33333333333</v>
      </c>
      <c r="H969" s="24" t="str">
        <f aca="false">ScenarioName</f>
        <v>Base</v>
      </c>
    </row>
    <row r="970" customFormat="false" ht="15" hidden="false" customHeight="false" outlineLevel="0" collapsed="false">
      <c r="A970" s="8" t="n">
        <v>33</v>
      </c>
      <c r="B970" s="39" t="n">
        <f aca="false">EDATE(StartDate,A970-1)</f>
        <v>47362</v>
      </c>
      <c r="C970" s="24" t="str">
        <f aca="false">Monthly!$B$35</f>
        <v>EnergyWave, Inc.</v>
      </c>
      <c r="D970" s="24" t="str">
        <f aca="false">Monthly!$C$35</f>
        <v>Equipment</v>
      </c>
      <c r="E970" s="24" t="str">
        <f aca="false">Monthly!$D$35</f>
        <v>Additive manufacturing</v>
      </c>
      <c r="F970" s="24" t="str">
        <f aca="false">Monthly!$A$35</f>
        <v>AM service contract &amp; software</v>
      </c>
      <c r="G970" s="20" t="n">
        <f aca="false">Monthly!AL$35</f>
        <v>3333.33333333333</v>
      </c>
      <c r="H970" s="24" t="str">
        <f aca="false">ScenarioName</f>
        <v>Base</v>
      </c>
    </row>
    <row r="971" customFormat="false" ht="15" hidden="false" customHeight="false" outlineLevel="0" collapsed="false">
      <c r="A971" s="8" t="n">
        <v>34</v>
      </c>
      <c r="B971" s="39" t="n">
        <f aca="false">EDATE(StartDate,A971-1)</f>
        <v>47392</v>
      </c>
      <c r="C971" s="24" t="str">
        <f aca="false">Monthly!$B$35</f>
        <v>EnergyWave, Inc.</v>
      </c>
      <c r="D971" s="24" t="str">
        <f aca="false">Monthly!$C$35</f>
        <v>Equipment</v>
      </c>
      <c r="E971" s="24" t="str">
        <f aca="false">Monthly!$D$35</f>
        <v>Additive manufacturing</v>
      </c>
      <c r="F971" s="24" t="str">
        <f aca="false">Monthly!$A$35</f>
        <v>AM service contract &amp; software</v>
      </c>
      <c r="G971" s="20" t="n">
        <f aca="false">Monthly!AM$35</f>
        <v>3333.33333333333</v>
      </c>
      <c r="H971" s="24" t="str">
        <f aca="false">ScenarioName</f>
        <v>Base</v>
      </c>
    </row>
    <row r="972" customFormat="false" ht="15" hidden="false" customHeight="false" outlineLevel="0" collapsed="false">
      <c r="A972" s="8" t="n">
        <v>35</v>
      </c>
      <c r="B972" s="39" t="n">
        <f aca="false">EDATE(StartDate,A972-1)</f>
        <v>47423</v>
      </c>
      <c r="C972" s="24" t="str">
        <f aca="false">Monthly!$B$35</f>
        <v>EnergyWave, Inc.</v>
      </c>
      <c r="D972" s="24" t="str">
        <f aca="false">Monthly!$C$35</f>
        <v>Equipment</v>
      </c>
      <c r="E972" s="24" t="str">
        <f aca="false">Monthly!$D$35</f>
        <v>Additive manufacturing</v>
      </c>
      <c r="F972" s="24" t="str">
        <f aca="false">Monthly!$A$35</f>
        <v>AM service contract &amp; software</v>
      </c>
      <c r="G972" s="20" t="n">
        <f aca="false">Monthly!AN$35</f>
        <v>3333.33333333333</v>
      </c>
      <c r="H972" s="24" t="str">
        <f aca="false">ScenarioName</f>
        <v>Base</v>
      </c>
    </row>
    <row r="973" customFormat="false" ht="15" hidden="false" customHeight="false" outlineLevel="0" collapsed="false">
      <c r="A973" s="8" t="n">
        <v>36</v>
      </c>
      <c r="B973" s="39" t="n">
        <f aca="false">EDATE(StartDate,A973-1)</f>
        <v>47453</v>
      </c>
      <c r="C973" s="24" t="str">
        <f aca="false">Monthly!$B$35</f>
        <v>EnergyWave, Inc.</v>
      </c>
      <c r="D973" s="24" t="str">
        <f aca="false">Monthly!$C$35</f>
        <v>Equipment</v>
      </c>
      <c r="E973" s="24" t="str">
        <f aca="false">Monthly!$D$35</f>
        <v>Additive manufacturing</v>
      </c>
      <c r="F973" s="24" t="str">
        <f aca="false">Monthly!$A$35</f>
        <v>AM service contract &amp; software</v>
      </c>
      <c r="G973" s="20" t="n">
        <f aca="false">Monthly!AO$35</f>
        <v>3333.33333333333</v>
      </c>
      <c r="H973" s="24" t="str">
        <f aca="false">ScenarioName</f>
        <v>Base</v>
      </c>
    </row>
    <row r="974" customFormat="false" ht="15" hidden="false" customHeight="false" outlineLevel="0" collapsed="false">
      <c r="A974" s="8" t="n">
        <v>1</v>
      </c>
      <c r="B974" s="39" t="n">
        <f aca="false">EDATE(StartDate,A974-1)</f>
        <v>46388</v>
      </c>
      <c r="C974" s="24" t="str">
        <f aca="false">Monthly!$B$36</f>
        <v>EnergyWave, Inc.</v>
      </c>
      <c r="D974" s="24" t="str">
        <f aca="false">Monthly!$C$36</f>
        <v>Operations</v>
      </c>
      <c r="E974" s="24" t="str">
        <f aca="false">Monthly!$D$36</f>
        <v>Consumables</v>
      </c>
      <c r="F974" s="24" t="str">
        <f aca="false">Monthly!$A$36</f>
        <v>AM feedstock &amp; lab consumables</v>
      </c>
      <c r="G974" s="20" t="n">
        <f aca="false">Monthly!F$36</f>
        <v>0</v>
      </c>
      <c r="H974" s="24" t="str">
        <f aca="false">ScenarioName</f>
        <v>Base</v>
      </c>
    </row>
    <row r="975" customFormat="false" ht="15" hidden="false" customHeight="false" outlineLevel="0" collapsed="false">
      <c r="A975" s="8" t="n">
        <v>2</v>
      </c>
      <c r="B975" s="39" t="n">
        <f aca="false">EDATE(StartDate,A975-1)</f>
        <v>46419</v>
      </c>
      <c r="C975" s="24" t="str">
        <f aca="false">Monthly!$B$36</f>
        <v>EnergyWave, Inc.</v>
      </c>
      <c r="D975" s="24" t="str">
        <f aca="false">Monthly!$C$36</f>
        <v>Operations</v>
      </c>
      <c r="E975" s="24" t="str">
        <f aca="false">Monthly!$D$36</f>
        <v>Consumables</v>
      </c>
      <c r="F975" s="24" t="str">
        <f aca="false">Monthly!$A$36</f>
        <v>AM feedstock &amp; lab consumables</v>
      </c>
      <c r="G975" s="20" t="n">
        <f aca="false">Monthly!G$36</f>
        <v>0</v>
      </c>
      <c r="H975" s="24" t="str">
        <f aca="false">ScenarioName</f>
        <v>Base</v>
      </c>
    </row>
    <row r="976" customFormat="false" ht="15" hidden="false" customHeight="false" outlineLevel="0" collapsed="false">
      <c r="A976" s="8" t="n">
        <v>3</v>
      </c>
      <c r="B976" s="39" t="n">
        <f aca="false">EDATE(StartDate,A976-1)</f>
        <v>46447</v>
      </c>
      <c r="C976" s="24" t="str">
        <f aca="false">Monthly!$B$36</f>
        <v>EnergyWave, Inc.</v>
      </c>
      <c r="D976" s="24" t="str">
        <f aca="false">Monthly!$C$36</f>
        <v>Operations</v>
      </c>
      <c r="E976" s="24" t="str">
        <f aca="false">Monthly!$D$36</f>
        <v>Consumables</v>
      </c>
      <c r="F976" s="24" t="str">
        <f aca="false">Monthly!$A$36</f>
        <v>AM feedstock &amp; lab consumables</v>
      </c>
      <c r="G976" s="20" t="n">
        <f aca="false">Monthly!H$36</f>
        <v>10000</v>
      </c>
      <c r="H976" s="24" t="str">
        <f aca="false">ScenarioName</f>
        <v>Base</v>
      </c>
    </row>
    <row r="977" customFormat="false" ht="15" hidden="false" customHeight="false" outlineLevel="0" collapsed="false">
      <c r="A977" s="8" t="n">
        <v>4</v>
      </c>
      <c r="B977" s="39" t="n">
        <f aca="false">EDATE(StartDate,A977-1)</f>
        <v>46478</v>
      </c>
      <c r="C977" s="24" t="str">
        <f aca="false">Monthly!$B$36</f>
        <v>EnergyWave, Inc.</v>
      </c>
      <c r="D977" s="24" t="str">
        <f aca="false">Monthly!$C$36</f>
        <v>Operations</v>
      </c>
      <c r="E977" s="24" t="str">
        <f aca="false">Monthly!$D$36</f>
        <v>Consumables</v>
      </c>
      <c r="F977" s="24" t="str">
        <f aca="false">Monthly!$A$36</f>
        <v>AM feedstock &amp; lab consumables</v>
      </c>
      <c r="G977" s="20" t="n">
        <f aca="false">Monthly!I$36</f>
        <v>10000</v>
      </c>
      <c r="H977" s="24" t="str">
        <f aca="false">ScenarioName</f>
        <v>Base</v>
      </c>
    </row>
    <row r="978" customFormat="false" ht="15" hidden="false" customHeight="false" outlineLevel="0" collapsed="false">
      <c r="A978" s="8" t="n">
        <v>5</v>
      </c>
      <c r="B978" s="39" t="n">
        <f aca="false">EDATE(StartDate,A978-1)</f>
        <v>46508</v>
      </c>
      <c r="C978" s="24" t="str">
        <f aca="false">Monthly!$B$36</f>
        <v>EnergyWave, Inc.</v>
      </c>
      <c r="D978" s="24" t="str">
        <f aca="false">Monthly!$C$36</f>
        <v>Operations</v>
      </c>
      <c r="E978" s="24" t="str">
        <f aca="false">Monthly!$D$36</f>
        <v>Consumables</v>
      </c>
      <c r="F978" s="24" t="str">
        <f aca="false">Monthly!$A$36</f>
        <v>AM feedstock &amp; lab consumables</v>
      </c>
      <c r="G978" s="20" t="n">
        <f aca="false">Monthly!J$36</f>
        <v>10000</v>
      </c>
      <c r="H978" s="24" t="str">
        <f aca="false">ScenarioName</f>
        <v>Base</v>
      </c>
    </row>
    <row r="979" customFormat="false" ht="15" hidden="false" customHeight="false" outlineLevel="0" collapsed="false">
      <c r="A979" s="8" t="n">
        <v>6</v>
      </c>
      <c r="B979" s="39" t="n">
        <f aca="false">EDATE(StartDate,A979-1)</f>
        <v>46539</v>
      </c>
      <c r="C979" s="24" t="str">
        <f aca="false">Monthly!$B$36</f>
        <v>EnergyWave, Inc.</v>
      </c>
      <c r="D979" s="24" t="str">
        <f aca="false">Monthly!$C$36</f>
        <v>Operations</v>
      </c>
      <c r="E979" s="24" t="str">
        <f aca="false">Monthly!$D$36</f>
        <v>Consumables</v>
      </c>
      <c r="F979" s="24" t="str">
        <f aca="false">Monthly!$A$36</f>
        <v>AM feedstock &amp; lab consumables</v>
      </c>
      <c r="G979" s="20" t="n">
        <f aca="false">Monthly!K$36</f>
        <v>10000</v>
      </c>
      <c r="H979" s="24" t="str">
        <f aca="false">ScenarioName</f>
        <v>Base</v>
      </c>
    </row>
    <row r="980" customFormat="false" ht="15" hidden="false" customHeight="false" outlineLevel="0" collapsed="false">
      <c r="A980" s="8" t="n">
        <v>7</v>
      </c>
      <c r="B980" s="39" t="n">
        <f aca="false">EDATE(StartDate,A980-1)</f>
        <v>46569</v>
      </c>
      <c r="C980" s="24" t="str">
        <f aca="false">Monthly!$B$36</f>
        <v>EnergyWave, Inc.</v>
      </c>
      <c r="D980" s="24" t="str">
        <f aca="false">Monthly!$C$36</f>
        <v>Operations</v>
      </c>
      <c r="E980" s="24" t="str">
        <f aca="false">Monthly!$D$36</f>
        <v>Consumables</v>
      </c>
      <c r="F980" s="24" t="str">
        <f aca="false">Monthly!$A$36</f>
        <v>AM feedstock &amp; lab consumables</v>
      </c>
      <c r="G980" s="20" t="n">
        <f aca="false">Monthly!L$36</f>
        <v>10000</v>
      </c>
      <c r="H980" s="24" t="str">
        <f aca="false">ScenarioName</f>
        <v>Base</v>
      </c>
    </row>
    <row r="981" customFormat="false" ht="15" hidden="false" customHeight="false" outlineLevel="0" collapsed="false">
      <c r="A981" s="8" t="n">
        <v>8</v>
      </c>
      <c r="B981" s="39" t="n">
        <f aca="false">EDATE(StartDate,A981-1)</f>
        <v>46600</v>
      </c>
      <c r="C981" s="24" t="str">
        <f aca="false">Monthly!$B$36</f>
        <v>EnergyWave, Inc.</v>
      </c>
      <c r="D981" s="24" t="str">
        <f aca="false">Monthly!$C$36</f>
        <v>Operations</v>
      </c>
      <c r="E981" s="24" t="str">
        <f aca="false">Monthly!$D$36</f>
        <v>Consumables</v>
      </c>
      <c r="F981" s="24" t="str">
        <f aca="false">Monthly!$A$36</f>
        <v>AM feedstock &amp; lab consumables</v>
      </c>
      <c r="G981" s="20" t="n">
        <f aca="false">Monthly!M$36</f>
        <v>10000</v>
      </c>
      <c r="H981" s="24" t="str">
        <f aca="false">ScenarioName</f>
        <v>Base</v>
      </c>
    </row>
    <row r="982" customFormat="false" ht="15" hidden="false" customHeight="false" outlineLevel="0" collapsed="false">
      <c r="A982" s="8" t="n">
        <v>9</v>
      </c>
      <c r="B982" s="39" t="n">
        <f aca="false">EDATE(StartDate,A982-1)</f>
        <v>46631</v>
      </c>
      <c r="C982" s="24" t="str">
        <f aca="false">Monthly!$B$36</f>
        <v>EnergyWave, Inc.</v>
      </c>
      <c r="D982" s="24" t="str">
        <f aca="false">Monthly!$C$36</f>
        <v>Operations</v>
      </c>
      <c r="E982" s="24" t="str">
        <f aca="false">Monthly!$D$36</f>
        <v>Consumables</v>
      </c>
      <c r="F982" s="24" t="str">
        <f aca="false">Monthly!$A$36</f>
        <v>AM feedstock &amp; lab consumables</v>
      </c>
      <c r="G982" s="20" t="n">
        <f aca="false">Monthly!N$36</f>
        <v>10000</v>
      </c>
      <c r="H982" s="24" t="str">
        <f aca="false">ScenarioName</f>
        <v>Base</v>
      </c>
    </row>
    <row r="983" customFormat="false" ht="15" hidden="false" customHeight="false" outlineLevel="0" collapsed="false">
      <c r="A983" s="8" t="n">
        <v>10</v>
      </c>
      <c r="B983" s="39" t="n">
        <f aca="false">EDATE(StartDate,A983-1)</f>
        <v>46661</v>
      </c>
      <c r="C983" s="24" t="str">
        <f aca="false">Monthly!$B$36</f>
        <v>EnergyWave, Inc.</v>
      </c>
      <c r="D983" s="24" t="str">
        <f aca="false">Monthly!$C$36</f>
        <v>Operations</v>
      </c>
      <c r="E983" s="24" t="str">
        <f aca="false">Monthly!$D$36</f>
        <v>Consumables</v>
      </c>
      <c r="F983" s="24" t="str">
        <f aca="false">Monthly!$A$36</f>
        <v>AM feedstock &amp; lab consumables</v>
      </c>
      <c r="G983" s="20" t="n">
        <f aca="false">Monthly!O$36</f>
        <v>10000</v>
      </c>
      <c r="H983" s="24" t="str">
        <f aca="false">ScenarioName</f>
        <v>Base</v>
      </c>
    </row>
    <row r="984" customFormat="false" ht="15" hidden="false" customHeight="false" outlineLevel="0" collapsed="false">
      <c r="A984" s="8" t="n">
        <v>11</v>
      </c>
      <c r="B984" s="39" t="n">
        <f aca="false">EDATE(StartDate,A984-1)</f>
        <v>46692</v>
      </c>
      <c r="C984" s="24" t="str">
        <f aca="false">Monthly!$B$36</f>
        <v>EnergyWave, Inc.</v>
      </c>
      <c r="D984" s="24" t="str">
        <f aca="false">Monthly!$C$36</f>
        <v>Operations</v>
      </c>
      <c r="E984" s="24" t="str">
        <f aca="false">Monthly!$D$36</f>
        <v>Consumables</v>
      </c>
      <c r="F984" s="24" t="str">
        <f aca="false">Monthly!$A$36</f>
        <v>AM feedstock &amp; lab consumables</v>
      </c>
      <c r="G984" s="20" t="n">
        <f aca="false">Monthly!P$36</f>
        <v>10000</v>
      </c>
      <c r="H984" s="24" t="str">
        <f aca="false">ScenarioName</f>
        <v>Base</v>
      </c>
    </row>
    <row r="985" customFormat="false" ht="15" hidden="false" customHeight="false" outlineLevel="0" collapsed="false">
      <c r="A985" s="8" t="n">
        <v>12</v>
      </c>
      <c r="B985" s="39" t="n">
        <f aca="false">EDATE(StartDate,A985-1)</f>
        <v>46722</v>
      </c>
      <c r="C985" s="24" t="str">
        <f aca="false">Monthly!$B$36</f>
        <v>EnergyWave, Inc.</v>
      </c>
      <c r="D985" s="24" t="str">
        <f aca="false">Monthly!$C$36</f>
        <v>Operations</v>
      </c>
      <c r="E985" s="24" t="str">
        <f aca="false">Monthly!$D$36</f>
        <v>Consumables</v>
      </c>
      <c r="F985" s="24" t="str">
        <f aca="false">Monthly!$A$36</f>
        <v>AM feedstock &amp; lab consumables</v>
      </c>
      <c r="G985" s="20" t="n">
        <f aca="false">Monthly!Q$36</f>
        <v>10000</v>
      </c>
      <c r="H985" s="24" t="str">
        <f aca="false">ScenarioName</f>
        <v>Base</v>
      </c>
    </row>
    <row r="986" customFormat="false" ht="15" hidden="false" customHeight="false" outlineLevel="0" collapsed="false">
      <c r="A986" s="8" t="n">
        <v>13</v>
      </c>
      <c r="B986" s="39" t="n">
        <f aca="false">EDATE(StartDate,A986-1)</f>
        <v>46753</v>
      </c>
      <c r="C986" s="24" t="str">
        <f aca="false">Monthly!$B$36</f>
        <v>EnergyWave, Inc.</v>
      </c>
      <c r="D986" s="24" t="str">
        <f aca="false">Monthly!$C$36</f>
        <v>Operations</v>
      </c>
      <c r="E986" s="24" t="str">
        <f aca="false">Monthly!$D$36</f>
        <v>Consumables</v>
      </c>
      <c r="F986" s="24" t="str">
        <f aca="false">Monthly!$A$36</f>
        <v>AM feedstock &amp; lab consumables</v>
      </c>
      <c r="G986" s="20" t="n">
        <f aca="false">Monthly!R$36</f>
        <v>10000</v>
      </c>
      <c r="H986" s="24" t="str">
        <f aca="false">ScenarioName</f>
        <v>Base</v>
      </c>
    </row>
    <row r="987" customFormat="false" ht="15" hidden="false" customHeight="false" outlineLevel="0" collapsed="false">
      <c r="A987" s="8" t="n">
        <v>14</v>
      </c>
      <c r="B987" s="39" t="n">
        <f aca="false">EDATE(StartDate,A987-1)</f>
        <v>46784</v>
      </c>
      <c r="C987" s="24" t="str">
        <f aca="false">Monthly!$B$36</f>
        <v>EnergyWave, Inc.</v>
      </c>
      <c r="D987" s="24" t="str">
        <f aca="false">Monthly!$C$36</f>
        <v>Operations</v>
      </c>
      <c r="E987" s="24" t="str">
        <f aca="false">Monthly!$D$36</f>
        <v>Consumables</v>
      </c>
      <c r="F987" s="24" t="str">
        <f aca="false">Monthly!$A$36</f>
        <v>AM feedstock &amp; lab consumables</v>
      </c>
      <c r="G987" s="20" t="n">
        <f aca="false">Monthly!S$36</f>
        <v>10000</v>
      </c>
      <c r="H987" s="24" t="str">
        <f aca="false">ScenarioName</f>
        <v>Base</v>
      </c>
    </row>
    <row r="988" customFormat="false" ht="15" hidden="false" customHeight="false" outlineLevel="0" collapsed="false">
      <c r="A988" s="8" t="n">
        <v>15</v>
      </c>
      <c r="B988" s="39" t="n">
        <f aca="false">EDATE(StartDate,A988-1)</f>
        <v>46813</v>
      </c>
      <c r="C988" s="24" t="str">
        <f aca="false">Monthly!$B$36</f>
        <v>EnergyWave, Inc.</v>
      </c>
      <c r="D988" s="24" t="str">
        <f aca="false">Monthly!$C$36</f>
        <v>Operations</v>
      </c>
      <c r="E988" s="24" t="str">
        <f aca="false">Monthly!$D$36</f>
        <v>Consumables</v>
      </c>
      <c r="F988" s="24" t="str">
        <f aca="false">Monthly!$A$36</f>
        <v>AM feedstock &amp; lab consumables</v>
      </c>
      <c r="G988" s="20" t="n">
        <f aca="false">Monthly!T$36</f>
        <v>10000</v>
      </c>
      <c r="H988" s="24" t="str">
        <f aca="false">ScenarioName</f>
        <v>Base</v>
      </c>
    </row>
    <row r="989" customFormat="false" ht="15" hidden="false" customHeight="false" outlineLevel="0" collapsed="false">
      <c r="A989" s="8" t="n">
        <v>16</v>
      </c>
      <c r="B989" s="39" t="n">
        <f aca="false">EDATE(StartDate,A989-1)</f>
        <v>46844</v>
      </c>
      <c r="C989" s="24" t="str">
        <f aca="false">Monthly!$B$36</f>
        <v>EnergyWave, Inc.</v>
      </c>
      <c r="D989" s="24" t="str">
        <f aca="false">Monthly!$C$36</f>
        <v>Operations</v>
      </c>
      <c r="E989" s="24" t="str">
        <f aca="false">Monthly!$D$36</f>
        <v>Consumables</v>
      </c>
      <c r="F989" s="24" t="str">
        <f aca="false">Monthly!$A$36</f>
        <v>AM feedstock &amp; lab consumables</v>
      </c>
      <c r="G989" s="20" t="n">
        <f aca="false">Monthly!U$36</f>
        <v>10000</v>
      </c>
      <c r="H989" s="24" t="str">
        <f aca="false">ScenarioName</f>
        <v>Base</v>
      </c>
    </row>
    <row r="990" customFormat="false" ht="15" hidden="false" customHeight="false" outlineLevel="0" collapsed="false">
      <c r="A990" s="8" t="n">
        <v>17</v>
      </c>
      <c r="B990" s="39" t="n">
        <f aca="false">EDATE(StartDate,A990-1)</f>
        <v>46874</v>
      </c>
      <c r="C990" s="24" t="str">
        <f aca="false">Monthly!$B$36</f>
        <v>EnergyWave, Inc.</v>
      </c>
      <c r="D990" s="24" t="str">
        <f aca="false">Monthly!$C$36</f>
        <v>Operations</v>
      </c>
      <c r="E990" s="24" t="str">
        <f aca="false">Monthly!$D$36</f>
        <v>Consumables</v>
      </c>
      <c r="F990" s="24" t="str">
        <f aca="false">Monthly!$A$36</f>
        <v>AM feedstock &amp; lab consumables</v>
      </c>
      <c r="G990" s="20" t="n">
        <f aca="false">Monthly!V$36</f>
        <v>10000</v>
      </c>
      <c r="H990" s="24" t="str">
        <f aca="false">ScenarioName</f>
        <v>Base</v>
      </c>
    </row>
    <row r="991" customFormat="false" ht="15" hidden="false" customHeight="false" outlineLevel="0" collapsed="false">
      <c r="A991" s="8" t="n">
        <v>18</v>
      </c>
      <c r="B991" s="39" t="n">
        <f aca="false">EDATE(StartDate,A991-1)</f>
        <v>46905</v>
      </c>
      <c r="C991" s="24" t="str">
        <f aca="false">Monthly!$B$36</f>
        <v>EnergyWave, Inc.</v>
      </c>
      <c r="D991" s="24" t="str">
        <f aca="false">Monthly!$C$36</f>
        <v>Operations</v>
      </c>
      <c r="E991" s="24" t="str">
        <f aca="false">Monthly!$D$36</f>
        <v>Consumables</v>
      </c>
      <c r="F991" s="24" t="str">
        <f aca="false">Monthly!$A$36</f>
        <v>AM feedstock &amp; lab consumables</v>
      </c>
      <c r="G991" s="20" t="n">
        <f aca="false">Monthly!W$36</f>
        <v>10000</v>
      </c>
      <c r="H991" s="24" t="str">
        <f aca="false">ScenarioName</f>
        <v>Base</v>
      </c>
    </row>
    <row r="992" customFormat="false" ht="15" hidden="false" customHeight="false" outlineLevel="0" collapsed="false">
      <c r="A992" s="8" t="n">
        <v>19</v>
      </c>
      <c r="B992" s="39" t="n">
        <f aca="false">EDATE(StartDate,A992-1)</f>
        <v>46935</v>
      </c>
      <c r="C992" s="24" t="str">
        <f aca="false">Monthly!$B$36</f>
        <v>EnergyWave, Inc.</v>
      </c>
      <c r="D992" s="24" t="str">
        <f aca="false">Monthly!$C$36</f>
        <v>Operations</v>
      </c>
      <c r="E992" s="24" t="str">
        <f aca="false">Monthly!$D$36</f>
        <v>Consumables</v>
      </c>
      <c r="F992" s="24" t="str">
        <f aca="false">Monthly!$A$36</f>
        <v>AM feedstock &amp; lab consumables</v>
      </c>
      <c r="G992" s="20" t="n">
        <f aca="false">Monthly!X$36</f>
        <v>10000</v>
      </c>
      <c r="H992" s="24" t="str">
        <f aca="false">ScenarioName</f>
        <v>Base</v>
      </c>
    </row>
    <row r="993" customFormat="false" ht="15" hidden="false" customHeight="false" outlineLevel="0" collapsed="false">
      <c r="A993" s="8" t="n">
        <v>20</v>
      </c>
      <c r="B993" s="39" t="n">
        <f aca="false">EDATE(StartDate,A993-1)</f>
        <v>46966</v>
      </c>
      <c r="C993" s="24" t="str">
        <f aca="false">Monthly!$B$36</f>
        <v>EnergyWave, Inc.</v>
      </c>
      <c r="D993" s="24" t="str">
        <f aca="false">Monthly!$C$36</f>
        <v>Operations</v>
      </c>
      <c r="E993" s="24" t="str">
        <f aca="false">Monthly!$D$36</f>
        <v>Consumables</v>
      </c>
      <c r="F993" s="24" t="str">
        <f aca="false">Monthly!$A$36</f>
        <v>AM feedstock &amp; lab consumables</v>
      </c>
      <c r="G993" s="20" t="n">
        <f aca="false">Monthly!Y$36</f>
        <v>10000</v>
      </c>
      <c r="H993" s="24" t="str">
        <f aca="false">ScenarioName</f>
        <v>Base</v>
      </c>
    </row>
    <row r="994" customFormat="false" ht="15" hidden="false" customHeight="false" outlineLevel="0" collapsed="false">
      <c r="A994" s="8" t="n">
        <v>21</v>
      </c>
      <c r="B994" s="39" t="n">
        <f aca="false">EDATE(StartDate,A994-1)</f>
        <v>46997</v>
      </c>
      <c r="C994" s="24" t="str">
        <f aca="false">Monthly!$B$36</f>
        <v>EnergyWave, Inc.</v>
      </c>
      <c r="D994" s="24" t="str">
        <f aca="false">Monthly!$C$36</f>
        <v>Operations</v>
      </c>
      <c r="E994" s="24" t="str">
        <f aca="false">Monthly!$D$36</f>
        <v>Consumables</v>
      </c>
      <c r="F994" s="24" t="str">
        <f aca="false">Monthly!$A$36</f>
        <v>AM feedstock &amp; lab consumables</v>
      </c>
      <c r="G994" s="20" t="n">
        <f aca="false">Monthly!Z$36</f>
        <v>10000</v>
      </c>
      <c r="H994" s="24" t="str">
        <f aca="false">ScenarioName</f>
        <v>Base</v>
      </c>
    </row>
    <row r="995" customFormat="false" ht="15" hidden="false" customHeight="false" outlineLevel="0" collapsed="false">
      <c r="A995" s="8" t="n">
        <v>22</v>
      </c>
      <c r="B995" s="39" t="n">
        <f aca="false">EDATE(StartDate,A995-1)</f>
        <v>47027</v>
      </c>
      <c r="C995" s="24" t="str">
        <f aca="false">Monthly!$B$36</f>
        <v>EnergyWave, Inc.</v>
      </c>
      <c r="D995" s="24" t="str">
        <f aca="false">Monthly!$C$36</f>
        <v>Operations</v>
      </c>
      <c r="E995" s="24" t="str">
        <f aca="false">Monthly!$D$36</f>
        <v>Consumables</v>
      </c>
      <c r="F995" s="24" t="str">
        <f aca="false">Monthly!$A$36</f>
        <v>AM feedstock &amp; lab consumables</v>
      </c>
      <c r="G995" s="20" t="n">
        <f aca="false">Monthly!AA$36</f>
        <v>10000</v>
      </c>
      <c r="H995" s="24" t="str">
        <f aca="false">ScenarioName</f>
        <v>Base</v>
      </c>
    </row>
    <row r="996" customFormat="false" ht="15" hidden="false" customHeight="false" outlineLevel="0" collapsed="false">
      <c r="A996" s="8" t="n">
        <v>23</v>
      </c>
      <c r="B996" s="39" t="n">
        <f aca="false">EDATE(StartDate,A996-1)</f>
        <v>47058</v>
      </c>
      <c r="C996" s="24" t="str">
        <f aca="false">Monthly!$B$36</f>
        <v>EnergyWave, Inc.</v>
      </c>
      <c r="D996" s="24" t="str">
        <f aca="false">Monthly!$C$36</f>
        <v>Operations</v>
      </c>
      <c r="E996" s="24" t="str">
        <f aca="false">Monthly!$D$36</f>
        <v>Consumables</v>
      </c>
      <c r="F996" s="24" t="str">
        <f aca="false">Monthly!$A$36</f>
        <v>AM feedstock &amp; lab consumables</v>
      </c>
      <c r="G996" s="20" t="n">
        <f aca="false">Monthly!AB$36</f>
        <v>10000</v>
      </c>
      <c r="H996" s="24" t="str">
        <f aca="false">ScenarioName</f>
        <v>Base</v>
      </c>
    </row>
    <row r="997" customFormat="false" ht="15" hidden="false" customHeight="false" outlineLevel="0" collapsed="false">
      <c r="A997" s="8" t="n">
        <v>24</v>
      </c>
      <c r="B997" s="39" t="n">
        <f aca="false">EDATE(StartDate,A997-1)</f>
        <v>47088</v>
      </c>
      <c r="C997" s="24" t="str">
        <f aca="false">Monthly!$B$36</f>
        <v>EnergyWave, Inc.</v>
      </c>
      <c r="D997" s="24" t="str">
        <f aca="false">Monthly!$C$36</f>
        <v>Operations</v>
      </c>
      <c r="E997" s="24" t="str">
        <f aca="false">Monthly!$D$36</f>
        <v>Consumables</v>
      </c>
      <c r="F997" s="24" t="str">
        <f aca="false">Monthly!$A$36</f>
        <v>AM feedstock &amp; lab consumables</v>
      </c>
      <c r="G997" s="20" t="n">
        <f aca="false">Monthly!AC$36</f>
        <v>10000</v>
      </c>
      <c r="H997" s="24" t="str">
        <f aca="false">ScenarioName</f>
        <v>Base</v>
      </c>
    </row>
    <row r="998" customFormat="false" ht="15" hidden="false" customHeight="false" outlineLevel="0" collapsed="false">
      <c r="A998" s="8" t="n">
        <v>25</v>
      </c>
      <c r="B998" s="39" t="n">
        <f aca="false">EDATE(StartDate,A998-1)</f>
        <v>47119</v>
      </c>
      <c r="C998" s="24" t="str">
        <f aca="false">Monthly!$B$36</f>
        <v>EnergyWave, Inc.</v>
      </c>
      <c r="D998" s="24" t="str">
        <f aca="false">Monthly!$C$36</f>
        <v>Operations</v>
      </c>
      <c r="E998" s="24" t="str">
        <f aca="false">Monthly!$D$36</f>
        <v>Consumables</v>
      </c>
      <c r="F998" s="24" t="str">
        <f aca="false">Monthly!$A$36</f>
        <v>AM feedstock &amp; lab consumables</v>
      </c>
      <c r="G998" s="20" t="n">
        <f aca="false">Monthly!AD$36</f>
        <v>10000</v>
      </c>
      <c r="H998" s="24" t="str">
        <f aca="false">ScenarioName</f>
        <v>Base</v>
      </c>
    </row>
    <row r="999" customFormat="false" ht="15" hidden="false" customHeight="false" outlineLevel="0" collapsed="false">
      <c r="A999" s="8" t="n">
        <v>26</v>
      </c>
      <c r="B999" s="39" t="n">
        <f aca="false">EDATE(StartDate,A999-1)</f>
        <v>47150</v>
      </c>
      <c r="C999" s="24" t="str">
        <f aca="false">Monthly!$B$36</f>
        <v>EnergyWave, Inc.</v>
      </c>
      <c r="D999" s="24" t="str">
        <f aca="false">Monthly!$C$36</f>
        <v>Operations</v>
      </c>
      <c r="E999" s="24" t="str">
        <f aca="false">Monthly!$D$36</f>
        <v>Consumables</v>
      </c>
      <c r="F999" s="24" t="str">
        <f aca="false">Monthly!$A$36</f>
        <v>AM feedstock &amp; lab consumables</v>
      </c>
      <c r="G999" s="20" t="n">
        <f aca="false">Monthly!AE$36</f>
        <v>10000</v>
      </c>
      <c r="H999" s="24" t="str">
        <f aca="false">ScenarioName</f>
        <v>Base</v>
      </c>
    </row>
    <row r="1000" customFormat="false" ht="15" hidden="false" customHeight="false" outlineLevel="0" collapsed="false">
      <c r="A1000" s="8" t="n">
        <v>27</v>
      </c>
      <c r="B1000" s="39" t="n">
        <f aca="false">EDATE(StartDate,A1000-1)</f>
        <v>47178</v>
      </c>
      <c r="C1000" s="24" t="str">
        <f aca="false">Monthly!$B$36</f>
        <v>EnergyWave, Inc.</v>
      </c>
      <c r="D1000" s="24" t="str">
        <f aca="false">Monthly!$C$36</f>
        <v>Operations</v>
      </c>
      <c r="E1000" s="24" t="str">
        <f aca="false">Monthly!$D$36</f>
        <v>Consumables</v>
      </c>
      <c r="F1000" s="24" t="str">
        <f aca="false">Monthly!$A$36</f>
        <v>AM feedstock &amp; lab consumables</v>
      </c>
      <c r="G1000" s="20" t="n">
        <f aca="false">Monthly!AF$36</f>
        <v>10000</v>
      </c>
      <c r="H1000" s="24" t="str">
        <f aca="false">ScenarioName</f>
        <v>Base</v>
      </c>
    </row>
    <row r="1001" customFormat="false" ht="15" hidden="false" customHeight="false" outlineLevel="0" collapsed="false">
      <c r="A1001" s="8" t="n">
        <v>28</v>
      </c>
      <c r="B1001" s="39" t="n">
        <f aca="false">EDATE(StartDate,A1001-1)</f>
        <v>47209</v>
      </c>
      <c r="C1001" s="24" t="str">
        <f aca="false">Monthly!$B$36</f>
        <v>EnergyWave, Inc.</v>
      </c>
      <c r="D1001" s="24" t="str">
        <f aca="false">Monthly!$C$36</f>
        <v>Operations</v>
      </c>
      <c r="E1001" s="24" t="str">
        <f aca="false">Monthly!$D$36</f>
        <v>Consumables</v>
      </c>
      <c r="F1001" s="24" t="str">
        <f aca="false">Monthly!$A$36</f>
        <v>AM feedstock &amp; lab consumables</v>
      </c>
      <c r="G1001" s="20" t="n">
        <f aca="false">Monthly!AG$36</f>
        <v>10000</v>
      </c>
      <c r="H1001" s="24" t="str">
        <f aca="false">ScenarioName</f>
        <v>Base</v>
      </c>
    </row>
    <row r="1002" customFormat="false" ht="15" hidden="false" customHeight="false" outlineLevel="0" collapsed="false">
      <c r="A1002" s="8" t="n">
        <v>29</v>
      </c>
      <c r="B1002" s="39" t="n">
        <f aca="false">EDATE(StartDate,A1002-1)</f>
        <v>47239</v>
      </c>
      <c r="C1002" s="24" t="str">
        <f aca="false">Monthly!$B$36</f>
        <v>EnergyWave, Inc.</v>
      </c>
      <c r="D1002" s="24" t="str">
        <f aca="false">Monthly!$C$36</f>
        <v>Operations</v>
      </c>
      <c r="E1002" s="24" t="str">
        <f aca="false">Monthly!$D$36</f>
        <v>Consumables</v>
      </c>
      <c r="F1002" s="24" t="str">
        <f aca="false">Monthly!$A$36</f>
        <v>AM feedstock &amp; lab consumables</v>
      </c>
      <c r="G1002" s="20" t="n">
        <f aca="false">Monthly!AH$36</f>
        <v>10000</v>
      </c>
      <c r="H1002" s="24" t="str">
        <f aca="false">ScenarioName</f>
        <v>Base</v>
      </c>
    </row>
    <row r="1003" customFormat="false" ht="15" hidden="false" customHeight="false" outlineLevel="0" collapsed="false">
      <c r="A1003" s="8" t="n">
        <v>30</v>
      </c>
      <c r="B1003" s="39" t="n">
        <f aca="false">EDATE(StartDate,A1003-1)</f>
        <v>47270</v>
      </c>
      <c r="C1003" s="24" t="str">
        <f aca="false">Monthly!$B$36</f>
        <v>EnergyWave, Inc.</v>
      </c>
      <c r="D1003" s="24" t="str">
        <f aca="false">Monthly!$C$36</f>
        <v>Operations</v>
      </c>
      <c r="E1003" s="24" t="str">
        <f aca="false">Monthly!$D$36</f>
        <v>Consumables</v>
      </c>
      <c r="F1003" s="24" t="str">
        <f aca="false">Monthly!$A$36</f>
        <v>AM feedstock &amp; lab consumables</v>
      </c>
      <c r="G1003" s="20" t="n">
        <f aca="false">Monthly!AI$36</f>
        <v>10000</v>
      </c>
      <c r="H1003" s="24" t="str">
        <f aca="false">ScenarioName</f>
        <v>Base</v>
      </c>
    </row>
    <row r="1004" customFormat="false" ht="15" hidden="false" customHeight="false" outlineLevel="0" collapsed="false">
      <c r="A1004" s="8" t="n">
        <v>31</v>
      </c>
      <c r="B1004" s="39" t="n">
        <f aca="false">EDATE(StartDate,A1004-1)</f>
        <v>47300</v>
      </c>
      <c r="C1004" s="24" t="str">
        <f aca="false">Monthly!$B$36</f>
        <v>EnergyWave, Inc.</v>
      </c>
      <c r="D1004" s="24" t="str">
        <f aca="false">Monthly!$C$36</f>
        <v>Operations</v>
      </c>
      <c r="E1004" s="24" t="str">
        <f aca="false">Monthly!$D$36</f>
        <v>Consumables</v>
      </c>
      <c r="F1004" s="24" t="str">
        <f aca="false">Monthly!$A$36</f>
        <v>AM feedstock &amp; lab consumables</v>
      </c>
      <c r="G1004" s="20" t="n">
        <f aca="false">Monthly!AJ$36</f>
        <v>10000</v>
      </c>
      <c r="H1004" s="24" t="str">
        <f aca="false">ScenarioName</f>
        <v>Base</v>
      </c>
    </row>
    <row r="1005" customFormat="false" ht="15" hidden="false" customHeight="false" outlineLevel="0" collapsed="false">
      <c r="A1005" s="8" t="n">
        <v>32</v>
      </c>
      <c r="B1005" s="39" t="n">
        <f aca="false">EDATE(StartDate,A1005-1)</f>
        <v>47331</v>
      </c>
      <c r="C1005" s="24" t="str">
        <f aca="false">Monthly!$B$36</f>
        <v>EnergyWave, Inc.</v>
      </c>
      <c r="D1005" s="24" t="str">
        <f aca="false">Monthly!$C$36</f>
        <v>Operations</v>
      </c>
      <c r="E1005" s="24" t="str">
        <f aca="false">Monthly!$D$36</f>
        <v>Consumables</v>
      </c>
      <c r="F1005" s="24" t="str">
        <f aca="false">Monthly!$A$36</f>
        <v>AM feedstock &amp; lab consumables</v>
      </c>
      <c r="G1005" s="20" t="n">
        <f aca="false">Monthly!AK$36</f>
        <v>10000</v>
      </c>
      <c r="H1005" s="24" t="str">
        <f aca="false">ScenarioName</f>
        <v>Base</v>
      </c>
    </row>
    <row r="1006" customFormat="false" ht="15" hidden="false" customHeight="false" outlineLevel="0" collapsed="false">
      <c r="A1006" s="8" t="n">
        <v>33</v>
      </c>
      <c r="B1006" s="39" t="n">
        <f aca="false">EDATE(StartDate,A1006-1)</f>
        <v>47362</v>
      </c>
      <c r="C1006" s="24" t="str">
        <f aca="false">Monthly!$B$36</f>
        <v>EnergyWave, Inc.</v>
      </c>
      <c r="D1006" s="24" t="str">
        <f aca="false">Monthly!$C$36</f>
        <v>Operations</v>
      </c>
      <c r="E1006" s="24" t="str">
        <f aca="false">Monthly!$D$36</f>
        <v>Consumables</v>
      </c>
      <c r="F1006" s="24" t="str">
        <f aca="false">Monthly!$A$36</f>
        <v>AM feedstock &amp; lab consumables</v>
      </c>
      <c r="G1006" s="20" t="n">
        <f aca="false">Monthly!AL$36</f>
        <v>10000</v>
      </c>
      <c r="H1006" s="24" t="str">
        <f aca="false">ScenarioName</f>
        <v>Base</v>
      </c>
    </row>
    <row r="1007" customFormat="false" ht="15" hidden="false" customHeight="false" outlineLevel="0" collapsed="false">
      <c r="A1007" s="8" t="n">
        <v>34</v>
      </c>
      <c r="B1007" s="39" t="n">
        <f aca="false">EDATE(StartDate,A1007-1)</f>
        <v>47392</v>
      </c>
      <c r="C1007" s="24" t="str">
        <f aca="false">Monthly!$B$36</f>
        <v>EnergyWave, Inc.</v>
      </c>
      <c r="D1007" s="24" t="str">
        <f aca="false">Monthly!$C$36</f>
        <v>Operations</v>
      </c>
      <c r="E1007" s="24" t="str">
        <f aca="false">Monthly!$D$36</f>
        <v>Consumables</v>
      </c>
      <c r="F1007" s="24" t="str">
        <f aca="false">Monthly!$A$36</f>
        <v>AM feedstock &amp; lab consumables</v>
      </c>
      <c r="G1007" s="20" t="n">
        <f aca="false">Monthly!AM$36</f>
        <v>10000</v>
      </c>
      <c r="H1007" s="24" t="str">
        <f aca="false">ScenarioName</f>
        <v>Base</v>
      </c>
    </row>
    <row r="1008" customFormat="false" ht="15" hidden="false" customHeight="false" outlineLevel="0" collapsed="false">
      <c r="A1008" s="8" t="n">
        <v>35</v>
      </c>
      <c r="B1008" s="39" t="n">
        <f aca="false">EDATE(StartDate,A1008-1)</f>
        <v>47423</v>
      </c>
      <c r="C1008" s="24" t="str">
        <f aca="false">Monthly!$B$36</f>
        <v>EnergyWave, Inc.</v>
      </c>
      <c r="D1008" s="24" t="str">
        <f aca="false">Monthly!$C$36</f>
        <v>Operations</v>
      </c>
      <c r="E1008" s="24" t="str">
        <f aca="false">Monthly!$D$36</f>
        <v>Consumables</v>
      </c>
      <c r="F1008" s="24" t="str">
        <f aca="false">Monthly!$A$36</f>
        <v>AM feedstock &amp; lab consumables</v>
      </c>
      <c r="G1008" s="20" t="n">
        <f aca="false">Monthly!AN$36</f>
        <v>10000</v>
      </c>
      <c r="H1008" s="24" t="str">
        <f aca="false">ScenarioName</f>
        <v>Base</v>
      </c>
    </row>
    <row r="1009" customFormat="false" ht="15" hidden="false" customHeight="false" outlineLevel="0" collapsed="false">
      <c r="A1009" s="8" t="n">
        <v>36</v>
      </c>
      <c r="B1009" s="39" t="n">
        <f aca="false">EDATE(StartDate,A1009-1)</f>
        <v>47453</v>
      </c>
      <c r="C1009" s="24" t="str">
        <f aca="false">Monthly!$B$36</f>
        <v>EnergyWave, Inc.</v>
      </c>
      <c r="D1009" s="24" t="str">
        <f aca="false">Monthly!$C$36</f>
        <v>Operations</v>
      </c>
      <c r="E1009" s="24" t="str">
        <f aca="false">Monthly!$D$36</f>
        <v>Consumables</v>
      </c>
      <c r="F1009" s="24" t="str">
        <f aca="false">Monthly!$A$36</f>
        <v>AM feedstock &amp; lab consumables</v>
      </c>
      <c r="G1009" s="20" t="n">
        <f aca="false">Monthly!AO$36</f>
        <v>10000</v>
      </c>
      <c r="H1009" s="24" t="str">
        <f aca="false">ScenarioName</f>
        <v>Base</v>
      </c>
    </row>
    <row r="1010" customFormat="false" ht="15" hidden="false" customHeight="false" outlineLevel="0" collapsed="false">
      <c r="A1010" s="8" t="n">
        <v>1</v>
      </c>
      <c r="B1010" s="39" t="n">
        <f aca="false">EDATE(StartDate,A1010-1)</f>
        <v>46388</v>
      </c>
      <c r="C1010" s="24" t="str">
        <f aca="false">Monthly!$B$37</f>
        <v>EnergyWave, Inc.</v>
      </c>
      <c r="D1010" s="24" t="str">
        <f aca="false">Monthly!$C$37</f>
        <v>Operations</v>
      </c>
      <c r="E1010" s="24" t="str">
        <f aca="false">Monthly!$D$37</f>
        <v>Compute</v>
      </c>
      <c r="F1010" s="24" t="str">
        <f aca="false">Monthly!$A$37</f>
        <v>Compute, simulation &amp; software licenses</v>
      </c>
      <c r="G1010" s="20" t="n">
        <f aca="false">Monthly!F$37</f>
        <v>8000</v>
      </c>
      <c r="H1010" s="24" t="str">
        <f aca="false">ScenarioName</f>
        <v>Base</v>
      </c>
    </row>
    <row r="1011" customFormat="false" ht="15" hidden="false" customHeight="false" outlineLevel="0" collapsed="false">
      <c r="A1011" s="8" t="n">
        <v>2</v>
      </c>
      <c r="B1011" s="39" t="n">
        <f aca="false">EDATE(StartDate,A1011-1)</f>
        <v>46419</v>
      </c>
      <c r="C1011" s="24" t="str">
        <f aca="false">Monthly!$B$37</f>
        <v>EnergyWave, Inc.</v>
      </c>
      <c r="D1011" s="24" t="str">
        <f aca="false">Monthly!$C$37</f>
        <v>Operations</v>
      </c>
      <c r="E1011" s="24" t="str">
        <f aca="false">Monthly!$D$37</f>
        <v>Compute</v>
      </c>
      <c r="F1011" s="24" t="str">
        <f aca="false">Monthly!$A$37</f>
        <v>Compute, simulation &amp; software licenses</v>
      </c>
      <c r="G1011" s="20" t="n">
        <f aca="false">Monthly!G$37</f>
        <v>8000</v>
      </c>
      <c r="H1011" s="24" t="str">
        <f aca="false">ScenarioName</f>
        <v>Base</v>
      </c>
    </row>
    <row r="1012" customFormat="false" ht="15" hidden="false" customHeight="false" outlineLevel="0" collapsed="false">
      <c r="A1012" s="8" t="n">
        <v>3</v>
      </c>
      <c r="B1012" s="39" t="n">
        <f aca="false">EDATE(StartDate,A1012-1)</f>
        <v>46447</v>
      </c>
      <c r="C1012" s="24" t="str">
        <f aca="false">Monthly!$B$37</f>
        <v>EnergyWave, Inc.</v>
      </c>
      <c r="D1012" s="24" t="str">
        <f aca="false">Monthly!$C$37</f>
        <v>Operations</v>
      </c>
      <c r="E1012" s="24" t="str">
        <f aca="false">Monthly!$D$37</f>
        <v>Compute</v>
      </c>
      <c r="F1012" s="24" t="str">
        <f aca="false">Monthly!$A$37</f>
        <v>Compute, simulation &amp; software licenses</v>
      </c>
      <c r="G1012" s="20" t="n">
        <f aca="false">Monthly!H$37</f>
        <v>8000</v>
      </c>
      <c r="H1012" s="24" t="str">
        <f aca="false">ScenarioName</f>
        <v>Base</v>
      </c>
    </row>
    <row r="1013" customFormat="false" ht="15" hidden="false" customHeight="false" outlineLevel="0" collapsed="false">
      <c r="A1013" s="8" t="n">
        <v>4</v>
      </c>
      <c r="B1013" s="39" t="n">
        <f aca="false">EDATE(StartDate,A1013-1)</f>
        <v>46478</v>
      </c>
      <c r="C1013" s="24" t="str">
        <f aca="false">Monthly!$B$37</f>
        <v>EnergyWave, Inc.</v>
      </c>
      <c r="D1013" s="24" t="str">
        <f aca="false">Monthly!$C$37</f>
        <v>Operations</v>
      </c>
      <c r="E1013" s="24" t="str">
        <f aca="false">Monthly!$D$37</f>
        <v>Compute</v>
      </c>
      <c r="F1013" s="24" t="str">
        <f aca="false">Monthly!$A$37</f>
        <v>Compute, simulation &amp; software licenses</v>
      </c>
      <c r="G1013" s="20" t="n">
        <f aca="false">Monthly!I$37</f>
        <v>8000</v>
      </c>
      <c r="H1013" s="24" t="str">
        <f aca="false">ScenarioName</f>
        <v>Base</v>
      </c>
    </row>
    <row r="1014" customFormat="false" ht="15" hidden="false" customHeight="false" outlineLevel="0" collapsed="false">
      <c r="A1014" s="8" t="n">
        <v>5</v>
      </c>
      <c r="B1014" s="39" t="n">
        <f aca="false">EDATE(StartDate,A1014-1)</f>
        <v>46508</v>
      </c>
      <c r="C1014" s="24" t="str">
        <f aca="false">Monthly!$B$37</f>
        <v>EnergyWave, Inc.</v>
      </c>
      <c r="D1014" s="24" t="str">
        <f aca="false">Monthly!$C$37</f>
        <v>Operations</v>
      </c>
      <c r="E1014" s="24" t="str">
        <f aca="false">Monthly!$D$37</f>
        <v>Compute</v>
      </c>
      <c r="F1014" s="24" t="str">
        <f aca="false">Monthly!$A$37</f>
        <v>Compute, simulation &amp; software licenses</v>
      </c>
      <c r="G1014" s="20" t="n">
        <f aca="false">Monthly!J$37</f>
        <v>8000</v>
      </c>
      <c r="H1014" s="24" t="str">
        <f aca="false">ScenarioName</f>
        <v>Base</v>
      </c>
    </row>
    <row r="1015" customFormat="false" ht="15" hidden="false" customHeight="false" outlineLevel="0" collapsed="false">
      <c r="A1015" s="8" t="n">
        <v>6</v>
      </c>
      <c r="B1015" s="39" t="n">
        <f aca="false">EDATE(StartDate,A1015-1)</f>
        <v>46539</v>
      </c>
      <c r="C1015" s="24" t="str">
        <f aca="false">Monthly!$B$37</f>
        <v>EnergyWave, Inc.</v>
      </c>
      <c r="D1015" s="24" t="str">
        <f aca="false">Monthly!$C$37</f>
        <v>Operations</v>
      </c>
      <c r="E1015" s="24" t="str">
        <f aca="false">Monthly!$D$37</f>
        <v>Compute</v>
      </c>
      <c r="F1015" s="24" t="str">
        <f aca="false">Monthly!$A$37</f>
        <v>Compute, simulation &amp; software licenses</v>
      </c>
      <c r="G1015" s="20" t="n">
        <f aca="false">Monthly!K$37</f>
        <v>8000</v>
      </c>
      <c r="H1015" s="24" t="str">
        <f aca="false">ScenarioName</f>
        <v>Base</v>
      </c>
    </row>
    <row r="1016" customFormat="false" ht="15" hidden="false" customHeight="false" outlineLevel="0" collapsed="false">
      <c r="A1016" s="8" t="n">
        <v>7</v>
      </c>
      <c r="B1016" s="39" t="n">
        <f aca="false">EDATE(StartDate,A1016-1)</f>
        <v>46569</v>
      </c>
      <c r="C1016" s="24" t="str">
        <f aca="false">Monthly!$B$37</f>
        <v>EnergyWave, Inc.</v>
      </c>
      <c r="D1016" s="24" t="str">
        <f aca="false">Monthly!$C$37</f>
        <v>Operations</v>
      </c>
      <c r="E1016" s="24" t="str">
        <f aca="false">Monthly!$D$37</f>
        <v>Compute</v>
      </c>
      <c r="F1016" s="24" t="str">
        <f aca="false">Monthly!$A$37</f>
        <v>Compute, simulation &amp; software licenses</v>
      </c>
      <c r="G1016" s="20" t="n">
        <f aca="false">Monthly!L$37</f>
        <v>8000</v>
      </c>
      <c r="H1016" s="24" t="str">
        <f aca="false">ScenarioName</f>
        <v>Base</v>
      </c>
    </row>
    <row r="1017" customFormat="false" ht="15" hidden="false" customHeight="false" outlineLevel="0" collapsed="false">
      <c r="A1017" s="8" t="n">
        <v>8</v>
      </c>
      <c r="B1017" s="39" t="n">
        <f aca="false">EDATE(StartDate,A1017-1)</f>
        <v>46600</v>
      </c>
      <c r="C1017" s="24" t="str">
        <f aca="false">Monthly!$B$37</f>
        <v>EnergyWave, Inc.</v>
      </c>
      <c r="D1017" s="24" t="str">
        <f aca="false">Monthly!$C$37</f>
        <v>Operations</v>
      </c>
      <c r="E1017" s="24" t="str">
        <f aca="false">Monthly!$D$37</f>
        <v>Compute</v>
      </c>
      <c r="F1017" s="24" t="str">
        <f aca="false">Monthly!$A$37</f>
        <v>Compute, simulation &amp; software licenses</v>
      </c>
      <c r="G1017" s="20" t="n">
        <f aca="false">Monthly!M$37</f>
        <v>8000</v>
      </c>
      <c r="H1017" s="24" t="str">
        <f aca="false">ScenarioName</f>
        <v>Base</v>
      </c>
    </row>
    <row r="1018" customFormat="false" ht="15" hidden="false" customHeight="false" outlineLevel="0" collapsed="false">
      <c r="A1018" s="8" t="n">
        <v>9</v>
      </c>
      <c r="B1018" s="39" t="n">
        <f aca="false">EDATE(StartDate,A1018-1)</f>
        <v>46631</v>
      </c>
      <c r="C1018" s="24" t="str">
        <f aca="false">Monthly!$B$37</f>
        <v>EnergyWave, Inc.</v>
      </c>
      <c r="D1018" s="24" t="str">
        <f aca="false">Monthly!$C$37</f>
        <v>Operations</v>
      </c>
      <c r="E1018" s="24" t="str">
        <f aca="false">Monthly!$D$37</f>
        <v>Compute</v>
      </c>
      <c r="F1018" s="24" t="str">
        <f aca="false">Monthly!$A$37</f>
        <v>Compute, simulation &amp; software licenses</v>
      </c>
      <c r="G1018" s="20" t="n">
        <f aca="false">Monthly!N$37</f>
        <v>8000</v>
      </c>
      <c r="H1018" s="24" t="str">
        <f aca="false">ScenarioName</f>
        <v>Base</v>
      </c>
    </row>
    <row r="1019" customFormat="false" ht="15" hidden="false" customHeight="false" outlineLevel="0" collapsed="false">
      <c r="A1019" s="8" t="n">
        <v>10</v>
      </c>
      <c r="B1019" s="39" t="n">
        <f aca="false">EDATE(StartDate,A1019-1)</f>
        <v>46661</v>
      </c>
      <c r="C1019" s="24" t="str">
        <f aca="false">Monthly!$B$37</f>
        <v>EnergyWave, Inc.</v>
      </c>
      <c r="D1019" s="24" t="str">
        <f aca="false">Monthly!$C$37</f>
        <v>Operations</v>
      </c>
      <c r="E1019" s="24" t="str">
        <f aca="false">Monthly!$D$37</f>
        <v>Compute</v>
      </c>
      <c r="F1019" s="24" t="str">
        <f aca="false">Monthly!$A$37</f>
        <v>Compute, simulation &amp; software licenses</v>
      </c>
      <c r="G1019" s="20" t="n">
        <f aca="false">Monthly!O$37</f>
        <v>8000</v>
      </c>
      <c r="H1019" s="24" t="str">
        <f aca="false">ScenarioName</f>
        <v>Base</v>
      </c>
    </row>
    <row r="1020" customFormat="false" ht="15" hidden="false" customHeight="false" outlineLevel="0" collapsed="false">
      <c r="A1020" s="8" t="n">
        <v>11</v>
      </c>
      <c r="B1020" s="39" t="n">
        <f aca="false">EDATE(StartDate,A1020-1)</f>
        <v>46692</v>
      </c>
      <c r="C1020" s="24" t="str">
        <f aca="false">Monthly!$B$37</f>
        <v>EnergyWave, Inc.</v>
      </c>
      <c r="D1020" s="24" t="str">
        <f aca="false">Monthly!$C$37</f>
        <v>Operations</v>
      </c>
      <c r="E1020" s="24" t="str">
        <f aca="false">Monthly!$D$37</f>
        <v>Compute</v>
      </c>
      <c r="F1020" s="24" t="str">
        <f aca="false">Monthly!$A$37</f>
        <v>Compute, simulation &amp; software licenses</v>
      </c>
      <c r="G1020" s="20" t="n">
        <f aca="false">Monthly!P$37</f>
        <v>8000</v>
      </c>
      <c r="H1020" s="24" t="str">
        <f aca="false">ScenarioName</f>
        <v>Base</v>
      </c>
    </row>
    <row r="1021" customFormat="false" ht="15" hidden="false" customHeight="false" outlineLevel="0" collapsed="false">
      <c r="A1021" s="8" t="n">
        <v>12</v>
      </c>
      <c r="B1021" s="39" t="n">
        <f aca="false">EDATE(StartDate,A1021-1)</f>
        <v>46722</v>
      </c>
      <c r="C1021" s="24" t="str">
        <f aca="false">Monthly!$B$37</f>
        <v>EnergyWave, Inc.</v>
      </c>
      <c r="D1021" s="24" t="str">
        <f aca="false">Monthly!$C$37</f>
        <v>Operations</v>
      </c>
      <c r="E1021" s="24" t="str">
        <f aca="false">Monthly!$D$37</f>
        <v>Compute</v>
      </c>
      <c r="F1021" s="24" t="str">
        <f aca="false">Monthly!$A$37</f>
        <v>Compute, simulation &amp; software licenses</v>
      </c>
      <c r="G1021" s="20" t="n">
        <f aca="false">Monthly!Q$37</f>
        <v>8000</v>
      </c>
      <c r="H1021" s="24" t="str">
        <f aca="false">ScenarioName</f>
        <v>Base</v>
      </c>
    </row>
    <row r="1022" customFormat="false" ht="15" hidden="false" customHeight="false" outlineLevel="0" collapsed="false">
      <c r="A1022" s="8" t="n">
        <v>13</v>
      </c>
      <c r="B1022" s="39" t="n">
        <f aca="false">EDATE(StartDate,A1022-1)</f>
        <v>46753</v>
      </c>
      <c r="C1022" s="24" t="str">
        <f aca="false">Monthly!$B$37</f>
        <v>EnergyWave, Inc.</v>
      </c>
      <c r="D1022" s="24" t="str">
        <f aca="false">Monthly!$C$37</f>
        <v>Operations</v>
      </c>
      <c r="E1022" s="24" t="str">
        <f aca="false">Monthly!$D$37</f>
        <v>Compute</v>
      </c>
      <c r="F1022" s="24" t="str">
        <f aca="false">Monthly!$A$37</f>
        <v>Compute, simulation &amp; software licenses</v>
      </c>
      <c r="G1022" s="20" t="n">
        <f aca="false">Monthly!R$37</f>
        <v>8000</v>
      </c>
      <c r="H1022" s="24" t="str">
        <f aca="false">ScenarioName</f>
        <v>Base</v>
      </c>
    </row>
    <row r="1023" customFormat="false" ht="15" hidden="false" customHeight="false" outlineLevel="0" collapsed="false">
      <c r="A1023" s="8" t="n">
        <v>14</v>
      </c>
      <c r="B1023" s="39" t="n">
        <f aca="false">EDATE(StartDate,A1023-1)</f>
        <v>46784</v>
      </c>
      <c r="C1023" s="24" t="str">
        <f aca="false">Monthly!$B$37</f>
        <v>EnergyWave, Inc.</v>
      </c>
      <c r="D1023" s="24" t="str">
        <f aca="false">Monthly!$C$37</f>
        <v>Operations</v>
      </c>
      <c r="E1023" s="24" t="str">
        <f aca="false">Monthly!$D$37</f>
        <v>Compute</v>
      </c>
      <c r="F1023" s="24" t="str">
        <f aca="false">Monthly!$A$37</f>
        <v>Compute, simulation &amp; software licenses</v>
      </c>
      <c r="G1023" s="20" t="n">
        <f aca="false">Monthly!S$37</f>
        <v>8000</v>
      </c>
      <c r="H1023" s="24" t="str">
        <f aca="false">ScenarioName</f>
        <v>Base</v>
      </c>
    </row>
    <row r="1024" customFormat="false" ht="15" hidden="false" customHeight="false" outlineLevel="0" collapsed="false">
      <c r="A1024" s="8" t="n">
        <v>15</v>
      </c>
      <c r="B1024" s="39" t="n">
        <f aca="false">EDATE(StartDate,A1024-1)</f>
        <v>46813</v>
      </c>
      <c r="C1024" s="24" t="str">
        <f aca="false">Monthly!$B$37</f>
        <v>EnergyWave, Inc.</v>
      </c>
      <c r="D1024" s="24" t="str">
        <f aca="false">Monthly!$C$37</f>
        <v>Operations</v>
      </c>
      <c r="E1024" s="24" t="str">
        <f aca="false">Monthly!$D$37</f>
        <v>Compute</v>
      </c>
      <c r="F1024" s="24" t="str">
        <f aca="false">Monthly!$A$37</f>
        <v>Compute, simulation &amp; software licenses</v>
      </c>
      <c r="G1024" s="20" t="n">
        <f aca="false">Monthly!T$37</f>
        <v>8000</v>
      </c>
      <c r="H1024" s="24" t="str">
        <f aca="false">ScenarioName</f>
        <v>Base</v>
      </c>
    </row>
    <row r="1025" customFormat="false" ht="15" hidden="false" customHeight="false" outlineLevel="0" collapsed="false">
      <c r="A1025" s="8" t="n">
        <v>16</v>
      </c>
      <c r="B1025" s="39" t="n">
        <f aca="false">EDATE(StartDate,A1025-1)</f>
        <v>46844</v>
      </c>
      <c r="C1025" s="24" t="str">
        <f aca="false">Monthly!$B$37</f>
        <v>EnergyWave, Inc.</v>
      </c>
      <c r="D1025" s="24" t="str">
        <f aca="false">Monthly!$C$37</f>
        <v>Operations</v>
      </c>
      <c r="E1025" s="24" t="str">
        <f aca="false">Monthly!$D$37</f>
        <v>Compute</v>
      </c>
      <c r="F1025" s="24" t="str">
        <f aca="false">Monthly!$A$37</f>
        <v>Compute, simulation &amp; software licenses</v>
      </c>
      <c r="G1025" s="20" t="n">
        <f aca="false">Monthly!U$37</f>
        <v>8000</v>
      </c>
      <c r="H1025" s="24" t="str">
        <f aca="false">ScenarioName</f>
        <v>Base</v>
      </c>
    </row>
    <row r="1026" customFormat="false" ht="15" hidden="false" customHeight="false" outlineLevel="0" collapsed="false">
      <c r="A1026" s="8" t="n">
        <v>17</v>
      </c>
      <c r="B1026" s="39" t="n">
        <f aca="false">EDATE(StartDate,A1026-1)</f>
        <v>46874</v>
      </c>
      <c r="C1026" s="24" t="str">
        <f aca="false">Monthly!$B$37</f>
        <v>EnergyWave, Inc.</v>
      </c>
      <c r="D1026" s="24" t="str">
        <f aca="false">Monthly!$C$37</f>
        <v>Operations</v>
      </c>
      <c r="E1026" s="24" t="str">
        <f aca="false">Monthly!$D$37</f>
        <v>Compute</v>
      </c>
      <c r="F1026" s="24" t="str">
        <f aca="false">Monthly!$A$37</f>
        <v>Compute, simulation &amp; software licenses</v>
      </c>
      <c r="G1026" s="20" t="n">
        <f aca="false">Monthly!V$37</f>
        <v>8000</v>
      </c>
      <c r="H1026" s="24" t="str">
        <f aca="false">ScenarioName</f>
        <v>Base</v>
      </c>
    </row>
    <row r="1027" customFormat="false" ht="15" hidden="false" customHeight="false" outlineLevel="0" collapsed="false">
      <c r="A1027" s="8" t="n">
        <v>18</v>
      </c>
      <c r="B1027" s="39" t="n">
        <f aca="false">EDATE(StartDate,A1027-1)</f>
        <v>46905</v>
      </c>
      <c r="C1027" s="24" t="str">
        <f aca="false">Monthly!$B$37</f>
        <v>EnergyWave, Inc.</v>
      </c>
      <c r="D1027" s="24" t="str">
        <f aca="false">Monthly!$C$37</f>
        <v>Operations</v>
      </c>
      <c r="E1027" s="24" t="str">
        <f aca="false">Monthly!$D$37</f>
        <v>Compute</v>
      </c>
      <c r="F1027" s="24" t="str">
        <f aca="false">Monthly!$A$37</f>
        <v>Compute, simulation &amp; software licenses</v>
      </c>
      <c r="G1027" s="20" t="n">
        <f aca="false">Monthly!W$37</f>
        <v>8000</v>
      </c>
      <c r="H1027" s="24" t="str">
        <f aca="false">ScenarioName</f>
        <v>Base</v>
      </c>
    </row>
    <row r="1028" customFormat="false" ht="15" hidden="false" customHeight="false" outlineLevel="0" collapsed="false">
      <c r="A1028" s="8" t="n">
        <v>19</v>
      </c>
      <c r="B1028" s="39" t="n">
        <f aca="false">EDATE(StartDate,A1028-1)</f>
        <v>46935</v>
      </c>
      <c r="C1028" s="24" t="str">
        <f aca="false">Monthly!$B$37</f>
        <v>EnergyWave, Inc.</v>
      </c>
      <c r="D1028" s="24" t="str">
        <f aca="false">Monthly!$C$37</f>
        <v>Operations</v>
      </c>
      <c r="E1028" s="24" t="str">
        <f aca="false">Monthly!$D$37</f>
        <v>Compute</v>
      </c>
      <c r="F1028" s="24" t="str">
        <f aca="false">Monthly!$A$37</f>
        <v>Compute, simulation &amp; software licenses</v>
      </c>
      <c r="G1028" s="20" t="n">
        <f aca="false">Monthly!X$37</f>
        <v>8000</v>
      </c>
      <c r="H1028" s="24" t="str">
        <f aca="false">ScenarioName</f>
        <v>Base</v>
      </c>
    </row>
    <row r="1029" customFormat="false" ht="15" hidden="false" customHeight="false" outlineLevel="0" collapsed="false">
      <c r="A1029" s="8" t="n">
        <v>20</v>
      </c>
      <c r="B1029" s="39" t="n">
        <f aca="false">EDATE(StartDate,A1029-1)</f>
        <v>46966</v>
      </c>
      <c r="C1029" s="24" t="str">
        <f aca="false">Monthly!$B$37</f>
        <v>EnergyWave, Inc.</v>
      </c>
      <c r="D1029" s="24" t="str">
        <f aca="false">Monthly!$C$37</f>
        <v>Operations</v>
      </c>
      <c r="E1029" s="24" t="str">
        <f aca="false">Monthly!$D$37</f>
        <v>Compute</v>
      </c>
      <c r="F1029" s="24" t="str">
        <f aca="false">Monthly!$A$37</f>
        <v>Compute, simulation &amp; software licenses</v>
      </c>
      <c r="G1029" s="20" t="n">
        <f aca="false">Monthly!Y$37</f>
        <v>8000</v>
      </c>
      <c r="H1029" s="24" t="str">
        <f aca="false">ScenarioName</f>
        <v>Base</v>
      </c>
    </row>
    <row r="1030" customFormat="false" ht="15" hidden="false" customHeight="false" outlineLevel="0" collapsed="false">
      <c r="A1030" s="8" t="n">
        <v>21</v>
      </c>
      <c r="B1030" s="39" t="n">
        <f aca="false">EDATE(StartDate,A1030-1)</f>
        <v>46997</v>
      </c>
      <c r="C1030" s="24" t="str">
        <f aca="false">Monthly!$B$37</f>
        <v>EnergyWave, Inc.</v>
      </c>
      <c r="D1030" s="24" t="str">
        <f aca="false">Monthly!$C$37</f>
        <v>Operations</v>
      </c>
      <c r="E1030" s="24" t="str">
        <f aca="false">Monthly!$D$37</f>
        <v>Compute</v>
      </c>
      <c r="F1030" s="24" t="str">
        <f aca="false">Monthly!$A$37</f>
        <v>Compute, simulation &amp; software licenses</v>
      </c>
      <c r="G1030" s="20" t="n">
        <f aca="false">Monthly!Z$37</f>
        <v>8000</v>
      </c>
      <c r="H1030" s="24" t="str">
        <f aca="false">ScenarioName</f>
        <v>Base</v>
      </c>
    </row>
    <row r="1031" customFormat="false" ht="15" hidden="false" customHeight="false" outlineLevel="0" collapsed="false">
      <c r="A1031" s="8" t="n">
        <v>22</v>
      </c>
      <c r="B1031" s="39" t="n">
        <f aca="false">EDATE(StartDate,A1031-1)</f>
        <v>47027</v>
      </c>
      <c r="C1031" s="24" t="str">
        <f aca="false">Monthly!$B$37</f>
        <v>EnergyWave, Inc.</v>
      </c>
      <c r="D1031" s="24" t="str">
        <f aca="false">Monthly!$C$37</f>
        <v>Operations</v>
      </c>
      <c r="E1031" s="24" t="str">
        <f aca="false">Monthly!$D$37</f>
        <v>Compute</v>
      </c>
      <c r="F1031" s="24" t="str">
        <f aca="false">Monthly!$A$37</f>
        <v>Compute, simulation &amp; software licenses</v>
      </c>
      <c r="G1031" s="20" t="n">
        <f aca="false">Monthly!AA$37</f>
        <v>8000</v>
      </c>
      <c r="H1031" s="24" t="str">
        <f aca="false">ScenarioName</f>
        <v>Base</v>
      </c>
    </row>
    <row r="1032" customFormat="false" ht="15" hidden="false" customHeight="false" outlineLevel="0" collapsed="false">
      <c r="A1032" s="8" t="n">
        <v>23</v>
      </c>
      <c r="B1032" s="39" t="n">
        <f aca="false">EDATE(StartDate,A1032-1)</f>
        <v>47058</v>
      </c>
      <c r="C1032" s="24" t="str">
        <f aca="false">Monthly!$B$37</f>
        <v>EnergyWave, Inc.</v>
      </c>
      <c r="D1032" s="24" t="str">
        <f aca="false">Monthly!$C$37</f>
        <v>Operations</v>
      </c>
      <c r="E1032" s="24" t="str">
        <f aca="false">Monthly!$D$37</f>
        <v>Compute</v>
      </c>
      <c r="F1032" s="24" t="str">
        <f aca="false">Monthly!$A$37</f>
        <v>Compute, simulation &amp; software licenses</v>
      </c>
      <c r="G1032" s="20" t="n">
        <f aca="false">Monthly!AB$37</f>
        <v>8000</v>
      </c>
      <c r="H1032" s="24" t="str">
        <f aca="false">ScenarioName</f>
        <v>Base</v>
      </c>
    </row>
    <row r="1033" customFormat="false" ht="15" hidden="false" customHeight="false" outlineLevel="0" collapsed="false">
      <c r="A1033" s="8" t="n">
        <v>24</v>
      </c>
      <c r="B1033" s="39" t="n">
        <f aca="false">EDATE(StartDate,A1033-1)</f>
        <v>47088</v>
      </c>
      <c r="C1033" s="24" t="str">
        <f aca="false">Monthly!$B$37</f>
        <v>EnergyWave, Inc.</v>
      </c>
      <c r="D1033" s="24" t="str">
        <f aca="false">Monthly!$C$37</f>
        <v>Operations</v>
      </c>
      <c r="E1033" s="24" t="str">
        <f aca="false">Monthly!$D$37</f>
        <v>Compute</v>
      </c>
      <c r="F1033" s="24" t="str">
        <f aca="false">Monthly!$A$37</f>
        <v>Compute, simulation &amp; software licenses</v>
      </c>
      <c r="G1033" s="20" t="n">
        <f aca="false">Monthly!AC$37</f>
        <v>8000</v>
      </c>
      <c r="H1033" s="24" t="str">
        <f aca="false">ScenarioName</f>
        <v>Base</v>
      </c>
    </row>
    <row r="1034" customFormat="false" ht="15" hidden="false" customHeight="false" outlineLevel="0" collapsed="false">
      <c r="A1034" s="8" t="n">
        <v>25</v>
      </c>
      <c r="B1034" s="39" t="n">
        <f aca="false">EDATE(StartDate,A1034-1)</f>
        <v>47119</v>
      </c>
      <c r="C1034" s="24" t="str">
        <f aca="false">Monthly!$B$37</f>
        <v>EnergyWave, Inc.</v>
      </c>
      <c r="D1034" s="24" t="str">
        <f aca="false">Monthly!$C$37</f>
        <v>Operations</v>
      </c>
      <c r="E1034" s="24" t="str">
        <f aca="false">Monthly!$D$37</f>
        <v>Compute</v>
      </c>
      <c r="F1034" s="24" t="str">
        <f aca="false">Monthly!$A$37</f>
        <v>Compute, simulation &amp; software licenses</v>
      </c>
      <c r="G1034" s="20" t="n">
        <f aca="false">Monthly!AD$37</f>
        <v>8000</v>
      </c>
      <c r="H1034" s="24" t="str">
        <f aca="false">ScenarioName</f>
        <v>Base</v>
      </c>
    </row>
    <row r="1035" customFormat="false" ht="15" hidden="false" customHeight="false" outlineLevel="0" collapsed="false">
      <c r="A1035" s="8" t="n">
        <v>26</v>
      </c>
      <c r="B1035" s="39" t="n">
        <f aca="false">EDATE(StartDate,A1035-1)</f>
        <v>47150</v>
      </c>
      <c r="C1035" s="24" t="str">
        <f aca="false">Monthly!$B$37</f>
        <v>EnergyWave, Inc.</v>
      </c>
      <c r="D1035" s="24" t="str">
        <f aca="false">Monthly!$C$37</f>
        <v>Operations</v>
      </c>
      <c r="E1035" s="24" t="str">
        <f aca="false">Monthly!$D$37</f>
        <v>Compute</v>
      </c>
      <c r="F1035" s="24" t="str">
        <f aca="false">Monthly!$A$37</f>
        <v>Compute, simulation &amp; software licenses</v>
      </c>
      <c r="G1035" s="20" t="n">
        <f aca="false">Monthly!AE$37</f>
        <v>8000</v>
      </c>
      <c r="H1035" s="24" t="str">
        <f aca="false">ScenarioName</f>
        <v>Base</v>
      </c>
    </row>
    <row r="1036" customFormat="false" ht="15" hidden="false" customHeight="false" outlineLevel="0" collapsed="false">
      <c r="A1036" s="8" t="n">
        <v>27</v>
      </c>
      <c r="B1036" s="39" t="n">
        <f aca="false">EDATE(StartDate,A1036-1)</f>
        <v>47178</v>
      </c>
      <c r="C1036" s="24" t="str">
        <f aca="false">Monthly!$B$37</f>
        <v>EnergyWave, Inc.</v>
      </c>
      <c r="D1036" s="24" t="str">
        <f aca="false">Monthly!$C$37</f>
        <v>Operations</v>
      </c>
      <c r="E1036" s="24" t="str">
        <f aca="false">Monthly!$D$37</f>
        <v>Compute</v>
      </c>
      <c r="F1036" s="24" t="str">
        <f aca="false">Monthly!$A$37</f>
        <v>Compute, simulation &amp; software licenses</v>
      </c>
      <c r="G1036" s="20" t="n">
        <f aca="false">Monthly!AF$37</f>
        <v>8000</v>
      </c>
      <c r="H1036" s="24" t="str">
        <f aca="false">ScenarioName</f>
        <v>Base</v>
      </c>
    </row>
    <row r="1037" customFormat="false" ht="15" hidden="false" customHeight="false" outlineLevel="0" collapsed="false">
      <c r="A1037" s="8" t="n">
        <v>28</v>
      </c>
      <c r="B1037" s="39" t="n">
        <f aca="false">EDATE(StartDate,A1037-1)</f>
        <v>47209</v>
      </c>
      <c r="C1037" s="24" t="str">
        <f aca="false">Monthly!$B$37</f>
        <v>EnergyWave, Inc.</v>
      </c>
      <c r="D1037" s="24" t="str">
        <f aca="false">Monthly!$C$37</f>
        <v>Operations</v>
      </c>
      <c r="E1037" s="24" t="str">
        <f aca="false">Monthly!$D$37</f>
        <v>Compute</v>
      </c>
      <c r="F1037" s="24" t="str">
        <f aca="false">Monthly!$A$37</f>
        <v>Compute, simulation &amp; software licenses</v>
      </c>
      <c r="G1037" s="20" t="n">
        <f aca="false">Monthly!AG$37</f>
        <v>8000</v>
      </c>
      <c r="H1037" s="24" t="str">
        <f aca="false">ScenarioName</f>
        <v>Base</v>
      </c>
    </row>
    <row r="1038" customFormat="false" ht="15" hidden="false" customHeight="false" outlineLevel="0" collapsed="false">
      <c r="A1038" s="8" t="n">
        <v>29</v>
      </c>
      <c r="B1038" s="39" t="n">
        <f aca="false">EDATE(StartDate,A1038-1)</f>
        <v>47239</v>
      </c>
      <c r="C1038" s="24" t="str">
        <f aca="false">Monthly!$B$37</f>
        <v>EnergyWave, Inc.</v>
      </c>
      <c r="D1038" s="24" t="str">
        <f aca="false">Monthly!$C$37</f>
        <v>Operations</v>
      </c>
      <c r="E1038" s="24" t="str">
        <f aca="false">Monthly!$D$37</f>
        <v>Compute</v>
      </c>
      <c r="F1038" s="24" t="str">
        <f aca="false">Monthly!$A$37</f>
        <v>Compute, simulation &amp; software licenses</v>
      </c>
      <c r="G1038" s="20" t="n">
        <f aca="false">Monthly!AH$37</f>
        <v>8000</v>
      </c>
      <c r="H1038" s="24" t="str">
        <f aca="false">ScenarioName</f>
        <v>Base</v>
      </c>
    </row>
    <row r="1039" customFormat="false" ht="15" hidden="false" customHeight="false" outlineLevel="0" collapsed="false">
      <c r="A1039" s="8" t="n">
        <v>30</v>
      </c>
      <c r="B1039" s="39" t="n">
        <f aca="false">EDATE(StartDate,A1039-1)</f>
        <v>47270</v>
      </c>
      <c r="C1039" s="24" t="str">
        <f aca="false">Monthly!$B$37</f>
        <v>EnergyWave, Inc.</v>
      </c>
      <c r="D1039" s="24" t="str">
        <f aca="false">Monthly!$C$37</f>
        <v>Operations</v>
      </c>
      <c r="E1039" s="24" t="str">
        <f aca="false">Monthly!$D$37</f>
        <v>Compute</v>
      </c>
      <c r="F1039" s="24" t="str">
        <f aca="false">Monthly!$A$37</f>
        <v>Compute, simulation &amp; software licenses</v>
      </c>
      <c r="G1039" s="20" t="n">
        <f aca="false">Monthly!AI$37</f>
        <v>8000</v>
      </c>
      <c r="H1039" s="24" t="str">
        <f aca="false">ScenarioName</f>
        <v>Base</v>
      </c>
    </row>
    <row r="1040" customFormat="false" ht="15" hidden="false" customHeight="false" outlineLevel="0" collapsed="false">
      <c r="A1040" s="8" t="n">
        <v>31</v>
      </c>
      <c r="B1040" s="39" t="n">
        <f aca="false">EDATE(StartDate,A1040-1)</f>
        <v>47300</v>
      </c>
      <c r="C1040" s="24" t="str">
        <f aca="false">Monthly!$B$37</f>
        <v>EnergyWave, Inc.</v>
      </c>
      <c r="D1040" s="24" t="str">
        <f aca="false">Monthly!$C$37</f>
        <v>Operations</v>
      </c>
      <c r="E1040" s="24" t="str">
        <f aca="false">Monthly!$D$37</f>
        <v>Compute</v>
      </c>
      <c r="F1040" s="24" t="str">
        <f aca="false">Monthly!$A$37</f>
        <v>Compute, simulation &amp; software licenses</v>
      </c>
      <c r="G1040" s="20" t="n">
        <f aca="false">Monthly!AJ$37</f>
        <v>8000</v>
      </c>
      <c r="H1040" s="24" t="str">
        <f aca="false">ScenarioName</f>
        <v>Base</v>
      </c>
    </row>
    <row r="1041" customFormat="false" ht="15" hidden="false" customHeight="false" outlineLevel="0" collapsed="false">
      <c r="A1041" s="8" t="n">
        <v>32</v>
      </c>
      <c r="B1041" s="39" t="n">
        <f aca="false">EDATE(StartDate,A1041-1)</f>
        <v>47331</v>
      </c>
      <c r="C1041" s="24" t="str">
        <f aca="false">Monthly!$B$37</f>
        <v>EnergyWave, Inc.</v>
      </c>
      <c r="D1041" s="24" t="str">
        <f aca="false">Monthly!$C$37</f>
        <v>Operations</v>
      </c>
      <c r="E1041" s="24" t="str">
        <f aca="false">Monthly!$D$37</f>
        <v>Compute</v>
      </c>
      <c r="F1041" s="24" t="str">
        <f aca="false">Monthly!$A$37</f>
        <v>Compute, simulation &amp; software licenses</v>
      </c>
      <c r="G1041" s="20" t="n">
        <f aca="false">Monthly!AK$37</f>
        <v>8000</v>
      </c>
      <c r="H1041" s="24" t="str">
        <f aca="false">ScenarioName</f>
        <v>Base</v>
      </c>
    </row>
    <row r="1042" customFormat="false" ht="15" hidden="false" customHeight="false" outlineLevel="0" collapsed="false">
      <c r="A1042" s="8" t="n">
        <v>33</v>
      </c>
      <c r="B1042" s="39" t="n">
        <f aca="false">EDATE(StartDate,A1042-1)</f>
        <v>47362</v>
      </c>
      <c r="C1042" s="24" t="str">
        <f aca="false">Monthly!$B$37</f>
        <v>EnergyWave, Inc.</v>
      </c>
      <c r="D1042" s="24" t="str">
        <f aca="false">Monthly!$C$37</f>
        <v>Operations</v>
      </c>
      <c r="E1042" s="24" t="str">
        <f aca="false">Monthly!$D$37</f>
        <v>Compute</v>
      </c>
      <c r="F1042" s="24" t="str">
        <f aca="false">Monthly!$A$37</f>
        <v>Compute, simulation &amp; software licenses</v>
      </c>
      <c r="G1042" s="20" t="n">
        <f aca="false">Monthly!AL$37</f>
        <v>8000</v>
      </c>
      <c r="H1042" s="24" t="str">
        <f aca="false">ScenarioName</f>
        <v>Base</v>
      </c>
    </row>
    <row r="1043" customFormat="false" ht="15" hidden="false" customHeight="false" outlineLevel="0" collapsed="false">
      <c r="A1043" s="8" t="n">
        <v>34</v>
      </c>
      <c r="B1043" s="39" t="n">
        <f aca="false">EDATE(StartDate,A1043-1)</f>
        <v>47392</v>
      </c>
      <c r="C1043" s="24" t="str">
        <f aca="false">Monthly!$B$37</f>
        <v>EnergyWave, Inc.</v>
      </c>
      <c r="D1043" s="24" t="str">
        <f aca="false">Monthly!$C$37</f>
        <v>Operations</v>
      </c>
      <c r="E1043" s="24" t="str">
        <f aca="false">Monthly!$D$37</f>
        <v>Compute</v>
      </c>
      <c r="F1043" s="24" t="str">
        <f aca="false">Monthly!$A$37</f>
        <v>Compute, simulation &amp; software licenses</v>
      </c>
      <c r="G1043" s="20" t="n">
        <f aca="false">Monthly!AM$37</f>
        <v>8000</v>
      </c>
      <c r="H1043" s="24" t="str">
        <f aca="false">ScenarioName</f>
        <v>Base</v>
      </c>
    </row>
    <row r="1044" customFormat="false" ht="15" hidden="false" customHeight="false" outlineLevel="0" collapsed="false">
      <c r="A1044" s="8" t="n">
        <v>35</v>
      </c>
      <c r="B1044" s="39" t="n">
        <f aca="false">EDATE(StartDate,A1044-1)</f>
        <v>47423</v>
      </c>
      <c r="C1044" s="24" t="str">
        <f aca="false">Monthly!$B$37</f>
        <v>EnergyWave, Inc.</v>
      </c>
      <c r="D1044" s="24" t="str">
        <f aca="false">Monthly!$C$37</f>
        <v>Operations</v>
      </c>
      <c r="E1044" s="24" t="str">
        <f aca="false">Monthly!$D$37</f>
        <v>Compute</v>
      </c>
      <c r="F1044" s="24" t="str">
        <f aca="false">Monthly!$A$37</f>
        <v>Compute, simulation &amp; software licenses</v>
      </c>
      <c r="G1044" s="20" t="n">
        <f aca="false">Monthly!AN$37</f>
        <v>8000</v>
      </c>
      <c r="H1044" s="24" t="str">
        <f aca="false">ScenarioName</f>
        <v>Base</v>
      </c>
    </row>
    <row r="1045" customFormat="false" ht="15" hidden="false" customHeight="false" outlineLevel="0" collapsed="false">
      <c r="A1045" s="8" t="n">
        <v>36</v>
      </c>
      <c r="B1045" s="39" t="n">
        <f aca="false">EDATE(StartDate,A1045-1)</f>
        <v>47453</v>
      </c>
      <c r="C1045" s="24" t="str">
        <f aca="false">Monthly!$B$37</f>
        <v>EnergyWave, Inc.</v>
      </c>
      <c r="D1045" s="24" t="str">
        <f aca="false">Monthly!$C$37</f>
        <v>Operations</v>
      </c>
      <c r="E1045" s="24" t="str">
        <f aca="false">Monthly!$D$37</f>
        <v>Compute</v>
      </c>
      <c r="F1045" s="24" t="str">
        <f aca="false">Monthly!$A$37</f>
        <v>Compute, simulation &amp; software licenses</v>
      </c>
      <c r="G1045" s="20" t="n">
        <f aca="false">Monthly!AO$37</f>
        <v>8000</v>
      </c>
      <c r="H1045" s="24" t="str">
        <f aca="false">ScenarioName</f>
        <v>Base</v>
      </c>
    </row>
    <row r="1046" customFormat="false" ht="15" hidden="false" customHeight="false" outlineLevel="0" collapsed="false">
      <c r="A1046" s="8" t="n">
        <v>1</v>
      </c>
      <c r="B1046" s="39" t="n">
        <f aca="false">EDATE(StartDate,A1046-1)</f>
        <v>46388</v>
      </c>
      <c r="C1046" s="24" t="str">
        <f aca="false">Monthly!$B$38</f>
        <v>EnergyWave, Inc.</v>
      </c>
      <c r="D1046" s="24" t="str">
        <f aca="false">Monthly!$C$38</f>
        <v>Research</v>
      </c>
      <c r="E1046" s="24" t="str">
        <f aca="false">Monthly!$D$38</f>
        <v>External verification</v>
      </c>
      <c r="F1046" s="24" t="str">
        <f aca="false">Monthly!$A$38</f>
        <v>Independent third-party replication / verification</v>
      </c>
      <c r="G1046" s="20" t="n">
        <f aca="false">Monthly!F$38</f>
        <v>0</v>
      </c>
      <c r="H1046" s="24" t="str">
        <f aca="false">ScenarioName</f>
        <v>Base</v>
      </c>
    </row>
    <row r="1047" customFormat="false" ht="15" hidden="false" customHeight="false" outlineLevel="0" collapsed="false">
      <c r="A1047" s="8" t="n">
        <v>2</v>
      </c>
      <c r="B1047" s="39" t="n">
        <f aca="false">EDATE(StartDate,A1047-1)</f>
        <v>46419</v>
      </c>
      <c r="C1047" s="24" t="str">
        <f aca="false">Monthly!$B$38</f>
        <v>EnergyWave, Inc.</v>
      </c>
      <c r="D1047" s="24" t="str">
        <f aca="false">Monthly!$C$38</f>
        <v>Research</v>
      </c>
      <c r="E1047" s="24" t="str">
        <f aca="false">Monthly!$D$38</f>
        <v>External verification</v>
      </c>
      <c r="F1047" s="24" t="str">
        <f aca="false">Monthly!$A$38</f>
        <v>Independent third-party replication / verification</v>
      </c>
      <c r="G1047" s="20" t="n">
        <f aca="false">Monthly!G$38</f>
        <v>0</v>
      </c>
      <c r="H1047" s="24" t="str">
        <f aca="false">ScenarioName</f>
        <v>Base</v>
      </c>
    </row>
    <row r="1048" customFormat="false" ht="15" hidden="false" customHeight="false" outlineLevel="0" collapsed="false">
      <c r="A1048" s="8" t="n">
        <v>3</v>
      </c>
      <c r="B1048" s="39" t="n">
        <f aca="false">EDATE(StartDate,A1048-1)</f>
        <v>46447</v>
      </c>
      <c r="C1048" s="24" t="str">
        <f aca="false">Monthly!$B$38</f>
        <v>EnergyWave, Inc.</v>
      </c>
      <c r="D1048" s="24" t="str">
        <f aca="false">Monthly!$C$38</f>
        <v>Research</v>
      </c>
      <c r="E1048" s="24" t="str">
        <f aca="false">Monthly!$D$38</f>
        <v>External verification</v>
      </c>
      <c r="F1048" s="24" t="str">
        <f aca="false">Monthly!$A$38</f>
        <v>Independent third-party replication / verification</v>
      </c>
      <c r="G1048" s="20" t="n">
        <f aca="false">Monthly!H$38</f>
        <v>0</v>
      </c>
      <c r="H1048" s="24" t="str">
        <f aca="false">ScenarioName</f>
        <v>Base</v>
      </c>
    </row>
    <row r="1049" customFormat="false" ht="15" hidden="false" customHeight="false" outlineLevel="0" collapsed="false">
      <c r="A1049" s="8" t="n">
        <v>4</v>
      </c>
      <c r="B1049" s="39" t="n">
        <f aca="false">EDATE(StartDate,A1049-1)</f>
        <v>46478</v>
      </c>
      <c r="C1049" s="24" t="str">
        <f aca="false">Monthly!$B$38</f>
        <v>EnergyWave, Inc.</v>
      </c>
      <c r="D1049" s="24" t="str">
        <f aca="false">Monthly!$C$38</f>
        <v>Research</v>
      </c>
      <c r="E1049" s="24" t="str">
        <f aca="false">Monthly!$D$38</f>
        <v>External verification</v>
      </c>
      <c r="F1049" s="24" t="str">
        <f aca="false">Monthly!$A$38</f>
        <v>Independent third-party replication / verification</v>
      </c>
      <c r="G1049" s="20" t="n">
        <f aca="false">Monthly!I$38</f>
        <v>0</v>
      </c>
      <c r="H1049" s="24" t="str">
        <f aca="false">ScenarioName</f>
        <v>Base</v>
      </c>
    </row>
    <row r="1050" customFormat="false" ht="15" hidden="false" customHeight="false" outlineLevel="0" collapsed="false">
      <c r="A1050" s="8" t="n">
        <v>5</v>
      </c>
      <c r="B1050" s="39" t="n">
        <f aca="false">EDATE(StartDate,A1050-1)</f>
        <v>46508</v>
      </c>
      <c r="C1050" s="24" t="str">
        <f aca="false">Monthly!$B$38</f>
        <v>EnergyWave, Inc.</v>
      </c>
      <c r="D1050" s="24" t="str">
        <f aca="false">Monthly!$C$38</f>
        <v>Research</v>
      </c>
      <c r="E1050" s="24" t="str">
        <f aca="false">Monthly!$D$38</f>
        <v>External verification</v>
      </c>
      <c r="F1050" s="24" t="str">
        <f aca="false">Monthly!$A$38</f>
        <v>Independent third-party replication / verification</v>
      </c>
      <c r="G1050" s="20" t="n">
        <f aca="false">Monthly!J$38</f>
        <v>0</v>
      </c>
      <c r="H1050" s="24" t="str">
        <f aca="false">ScenarioName</f>
        <v>Base</v>
      </c>
    </row>
    <row r="1051" customFormat="false" ht="15" hidden="false" customHeight="false" outlineLevel="0" collapsed="false">
      <c r="A1051" s="8" t="n">
        <v>6</v>
      </c>
      <c r="B1051" s="39" t="n">
        <f aca="false">EDATE(StartDate,A1051-1)</f>
        <v>46539</v>
      </c>
      <c r="C1051" s="24" t="str">
        <f aca="false">Monthly!$B$38</f>
        <v>EnergyWave, Inc.</v>
      </c>
      <c r="D1051" s="24" t="str">
        <f aca="false">Monthly!$C$38</f>
        <v>Research</v>
      </c>
      <c r="E1051" s="24" t="str">
        <f aca="false">Monthly!$D$38</f>
        <v>External verification</v>
      </c>
      <c r="F1051" s="24" t="str">
        <f aca="false">Monthly!$A$38</f>
        <v>Independent third-party replication / verification</v>
      </c>
      <c r="G1051" s="20" t="n">
        <f aca="false">Monthly!K$38</f>
        <v>0</v>
      </c>
      <c r="H1051" s="24" t="str">
        <f aca="false">ScenarioName</f>
        <v>Base</v>
      </c>
    </row>
    <row r="1052" customFormat="false" ht="15" hidden="false" customHeight="false" outlineLevel="0" collapsed="false">
      <c r="A1052" s="8" t="n">
        <v>7</v>
      </c>
      <c r="B1052" s="39" t="n">
        <f aca="false">EDATE(StartDate,A1052-1)</f>
        <v>46569</v>
      </c>
      <c r="C1052" s="24" t="str">
        <f aca="false">Monthly!$B$38</f>
        <v>EnergyWave, Inc.</v>
      </c>
      <c r="D1052" s="24" t="str">
        <f aca="false">Monthly!$C$38</f>
        <v>Research</v>
      </c>
      <c r="E1052" s="24" t="str">
        <f aca="false">Monthly!$D$38</f>
        <v>External verification</v>
      </c>
      <c r="F1052" s="24" t="str">
        <f aca="false">Monthly!$A$38</f>
        <v>Independent third-party replication / verification</v>
      </c>
      <c r="G1052" s="20" t="n">
        <f aca="false">Monthly!L$38</f>
        <v>12500</v>
      </c>
      <c r="H1052" s="24" t="str">
        <f aca="false">ScenarioName</f>
        <v>Base</v>
      </c>
    </row>
    <row r="1053" customFormat="false" ht="15" hidden="false" customHeight="false" outlineLevel="0" collapsed="false">
      <c r="A1053" s="8" t="n">
        <v>8</v>
      </c>
      <c r="B1053" s="39" t="n">
        <f aca="false">EDATE(StartDate,A1053-1)</f>
        <v>46600</v>
      </c>
      <c r="C1053" s="24" t="str">
        <f aca="false">Monthly!$B$38</f>
        <v>EnergyWave, Inc.</v>
      </c>
      <c r="D1053" s="24" t="str">
        <f aca="false">Monthly!$C$38</f>
        <v>Research</v>
      </c>
      <c r="E1053" s="24" t="str">
        <f aca="false">Monthly!$D$38</f>
        <v>External verification</v>
      </c>
      <c r="F1053" s="24" t="str">
        <f aca="false">Monthly!$A$38</f>
        <v>Independent third-party replication / verification</v>
      </c>
      <c r="G1053" s="20" t="n">
        <f aca="false">Monthly!M$38</f>
        <v>12500</v>
      </c>
      <c r="H1053" s="24" t="str">
        <f aca="false">ScenarioName</f>
        <v>Base</v>
      </c>
    </row>
    <row r="1054" customFormat="false" ht="15" hidden="false" customHeight="false" outlineLevel="0" collapsed="false">
      <c r="A1054" s="8" t="n">
        <v>9</v>
      </c>
      <c r="B1054" s="39" t="n">
        <f aca="false">EDATE(StartDate,A1054-1)</f>
        <v>46631</v>
      </c>
      <c r="C1054" s="24" t="str">
        <f aca="false">Monthly!$B$38</f>
        <v>EnergyWave, Inc.</v>
      </c>
      <c r="D1054" s="24" t="str">
        <f aca="false">Monthly!$C$38</f>
        <v>Research</v>
      </c>
      <c r="E1054" s="24" t="str">
        <f aca="false">Monthly!$D$38</f>
        <v>External verification</v>
      </c>
      <c r="F1054" s="24" t="str">
        <f aca="false">Monthly!$A$38</f>
        <v>Independent third-party replication / verification</v>
      </c>
      <c r="G1054" s="20" t="n">
        <f aca="false">Monthly!N$38</f>
        <v>12500</v>
      </c>
      <c r="H1054" s="24" t="str">
        <f aca="false">ScenarioName</f>
        <v>Base</v>
      </c>
    </row>
    <row r="1055" customFormat="false" ht="15" hidden="false" customHeight="false" outlineLevel="0" collapsed="false">
      <c r="A1055" s="8" t="n">
        <v>10</v>
      </c>
      <c r="B1055" s="39" t="n">
        <f aca="false">EDATE(StartDate,A1055-1)</f>
        <v>46661</v>
      </c>
      <c r="C1055" s="24" t="str">
        <f aca="false">Monthly!$B$38</f>
        <v>EnergyWave, Inc.</v>
      </c>
      <c r="D1055" s="24" t="str">
        <f aca="false">Monthly!$C$38</f>
        <v>Research</v>
      </c>
      <c r="E1055" s="24" t="str">
        <f aca="false">Monthly!$D$38</f>
        <v>External verification</v>
      </c>
      <c r="F1055" s="24" t="str">
        <f aca="false">Monthly!$A$38</f>
        <v>Independent third-party replication / verification</v>
      </c>
      <c r="G1055" s="20" t="n">
        <f aca="false">Monthly!O$38</f>
        <v>12500</v>
      </c>
      <c r="H1055" s="24" t="str">
        <f aca="false">ScenarioName</f>
        <v>Base</v>
      </c>
    </row>
    <row r="1056" customFormat="false" ht="15" hidden="false" customHeight="false" outlineLevel="0" collapsed="false">
      <c r="A1056" s="8" t="n">
        <v>11</v>
      </c>
      <c r="B1056" s="39" t="n">
        <f aca="false">EDATE(StartDate,A1056-1)</f>
        <v>46692</v>
      </c>
      <c r="C1056" s="24" t="str">
        <f aca="false">Monthly!$B$38</f>
        <v>EnergyWave, Inc.</v>
      </c>
      <c r="D1056" s="24" t="str">
        <f aca="false">Monthly!$C$38</f>
        <v>Research</v>
      </c>
      <c r="E1056" s="24" t="str">
        <f aca="false">Monthly!$D$38</f>
        <v>External verification</v>
      </c>
      <c r="F1056" s="24" t="str">
        <f aca="false">Monthly!$A$38</f>
        <v>Independent third-party replication / verification</v>
      </c>
      <c r="G1056" s="20" t="n">
        <f aca="false">Monthly!P$38</f>
        <v>12500</v>
      </c>
      <c r="H1056" s="24" t="str">
        <f aca="false">ScenarioName</f>
        <v>Base</v>
      </c>
    </row>
    <row r="1057" customFormat="false" ht="15" hidden="false" customHeight="false" outlineLevel="0" collapsed="false">
      <c r="A1057" s="8" t="n">
        <v>12</v>
      </c>
      <c r="B1057" s="39" t="n">
        <f aca="false">EDATE(StartDate,A1057-1)</f>
        <v>46722</v>
      </c>
      <c r="C1057" s="24" t="str">
        <f aca="false">Monthly!$B$38</f>
        <v>EnergyWave, Inc.</v>
      </c>
      <c r="D1057" s="24" t="str">
        <f aca="false">Monthly!$C$38</f>
        <v>Research</v>
      </c>
      <c r="E1057" s="24" t="str">
        <f aca="false">Monthly!$D$38</f>
        <v>External verification</v>
      </c>
      <c r="F1057" s="24" t="str">
        <f aca="false">Monthly!$A$38</f>
        <v>Independent third-party replication / verification</v>
      </c>
      <c r="G1057" s="20" t="n">
        <f aca="false">Monthly!Q$38</f>
        <v>12500</v>
      </c>
      <c r="H1057" s="24" t="str">
        <f aca="false">ScenarioName</f>
        <v>Base</v>
      </c>
    </row>
    <row r="1058" customFormat="false" ht="15" hidden="false" customHeight="false" outlineLevel="0" collapsed="false">
      <c r="A1058" s="8" t="n">
        <v>13</v>
      </c>
      <c r="B1058" s="39" t="n">
        <f aca="false">EDATE(StartDate,A1058-1)</f>
        <v>46753</v>
      </c>
      <c r="C1058" s="24" t="str">
        <f aca="false">Monthly!$B$38</f>
        <v>EnergyWave, Inc.</v>
      </c>
      <c r="D1058" s="24" t="str">
        <f aca="false">Monthly!$C$38</f>
        <v>Research</v>
      </c>
      <c r="E1058" s="24" t="str">
        <f aca="false">Monthly!$D$38</f>
        <v>External verification</v>
      </c>
      <c r="F1058" s="24" t="str">
        <f aca="false">Monthly!$A$38</f>
        <v>Independent third-party replication / verification</v>
      </c>
      <c r="G1058" s="20" t="n">
        <f aca="false">Monthly!R$38</f>
        <v>12500</v>
      </c>
      <c r="H1058" s="24" t="str">
        <f aca="false">ScenarioName</f>
        <v>Base</v>
      </c>
    </row>
    <row r="1059" customFormat="false" ht="15" hidden="false" customHeight="false" outlineLevel="0" collapsed="false">
      <c r="A1059" s="8" t="n">
        <v>14</v>
      </c>
      <c r="B1059" s="39" t="n">
        <f aca="false">EDATE(StartDate,A1059-1)</f>
        <v>46784</v>
      </c>
      <c r="C1059" s="24" t="str">
        <f aca="false">Monthly!$B$38</f>
        <v>EnergyWave, Inc.</v>
      </c>
      <c r="D1059" s="24" t="str">
        <f aca="false">Monthly!$C$38</f>
        <v>Research</v>
      </c>
      <c r="E1059" s="24" t="str">
        <f aca="false">Monthly!$D$38</f>
        <v>External verification</v>
      </c>
      <c r="F1059" s="24" t="str">
        <f aca="false">Monthly!$A$38</f>
        <v>Independent third-party replication / verification</v>
      </c>
      <c r="G1059" s="20" t="n">
        <f aca="false">Monthly!S$38</f>
        <v>12500</v>
      </c>
      <c r="H1059" s="24" t="str">
        <f aca="false">ScenarioName</f>
        <v>Base</v>
      </c>
    </row>
    <row r="1060" customFormat="false" ht="15" hidden="false" customHeight="false" outlineLevel="0" collapsed="false">
      <c r="A1060" s="8" t="n">
        <v>15</v>
      </c>
      <c r="B1060" s="39" t="n">
        <f aca="false">EDATE(StartDate,A1060-1)</f>
        <v>46813</v>
      </c>
      <c r="C1060" s="24" t="str">
        <f aca="false">Monthly!$B$38</f>
        <v>EnergyWave, Inc.</v>
      </c>
      <c r="D1060" s="24" t="str">
        <f aca="false">Monthly!$C$38</f>
        <v>Research</v>
      </c>
      <c r="E1060" s="24" t="str">
        <f aca="false">Monthly!$D$38</f>
        <v>External verification</v>
      </c>
      <c r="F1060" s="24" t="str">
        <f aca="false">Monthly!$A$38</f>
        <v>Independent third-party replication / verification</v>
      </c>
      <c r="G1060" s="20" t="n">
        <f aca="false">Monthly!T$38</f>
        <v>12500</v>
      </c>
      <c r="H1060" s="24" t="str">
        <f aca="false">ScenarioName</f>
        <v>Base</v>
      </c>
    </row>
    <row r="1061" customFormat="false" ht="15" hidden="false" customHeight="false" outlineLevel="0" collapsed="false">
      <c r="A1061" s="8" t="n">
        <v>16</v>
      </c>
      <c r="B1061" s="39" t="n">
        <f aca="false">EDATE(StartDate,A1061-1)</f>
        <v>46844</v>
      </c>
      <c r="C1061" s="24" t="str">
        <f aca="false">Monthly!$B$38</f>
        <v>EnergyWave, Inc.</v>
      </c>
      <c r="D1061" s="24" t="str">
        <f aca="false">Monthly!$C$38</f>
        <v>Research</v>
      </c>
      <c r="E1061" s="24" t="str">
        <f aca="false">Monthly!$D$38</f>
        <v>External verification</v>
      </c>
      <c r="F1061" s="24" t="str">
        <f aca="false">Monthly!$A$38</f>
        <v>Independent third-party replication / verification</v>
      </c>
      <c r="G1061" s="20" t="n">
        <f aca="false">Monthly!U$38</f>
        <v>12500</v>
      </c>
      <c r="H1061" s="24" t="str">
        <f aca="false">ScenarioName</f>
        <v>Base</v>
      </c>
    </row>
    <row r="1062" customFormat="false" ht="15" hidden="false" customHeight="false" outlineLevel="0" collapsed="false">
      <c r="A1062" s="8" t="n">
        <v>17</v>
      </c>
      <c r="B1062" s="39" t="n">
        <f aca="false">EDATE(StartDate,A1062-1)</f>
        <v>46874</v>
      </c>
      <c r="C1062" s="24" t="str">
        <f aca="false">Monthly!$B$38</f>
        <v>EnergyWave, Inc.</v>
      </c>
      <c r="D1062" s="24" t="str">
        <f aca="false">Monthly!$C$38</f>
        <v>Research</v>
      </c>
      <c r="E1062" s="24" t="str">
        <f aca="false">Monthly!$D$38</f>
        <v>External verification</v>
      </c>
      <c r="F1062" s="24" t="str">
        <f aca="false">Monthly!$A$38</f>
        <v>Independent third-party replication / verification</v>
      </c>
      <c r="G1062" s="20" t="n">
        <f aca="false">Monthly!V$38</f>
        <v>12500</v>
      </c>
      <c r="H1062" s="24" t="str">
        <f aca="false">ScenarioName</f>
        <v>Base</v>
      </c>
    </row>
    <row r="1063" customFormat="false" ht="15" hidden="false" customHeight="false" outlineLevel="0" collapsed="false">
      <c r="A1063" s="8" t="n">
        <v>18</v>
      </c>
      <c r="B1063" s="39" t="n">
        <f aca="false">EDATE(StartDate,A1063-1)</f>
        <v>46905</v>
      </c>
      <c r="C1063" s="24" t="str">
        <f aca="false">Monthly!$B$38</f>
        <v>EnergyWave, Inc.</v>
      </c>
      <c r="D1063" s="24" t="str">
        <f aca="false">Monthly!$C$38</f>
        <v>Research</v>
      </c>
      <c r="E1063" s="24" t="str">
        <f aca="false">Monthly!$D$38</f>
        <v>External verification</v>
      </c>
      <c r="F1063" s="24" t="str">
        <f aca="false">Monthly!$A$38</f>
        <v>Independent third-party replication / verification</v>
      </c>
      <c r="G1063" s="20" t="n">
        <f aca="false">Monthly!W$38</f>
        <v>12500</v>
      </c>
      <c r="H1063" s="24" t="str">
        <f aca="false">ScenarioName</f>
        <v>Base</v>
      </c>
    </row>
    <row r="1064" customFormat="false" ht="15" hidden="false" customHeight="false" outlineLevel="0" collapsed="false">
      <c r="A1064" s="8" t="n">
        <v>19</v>
      </c>
      <c r="B1064" s="39" t="n">
        <f aca="false">EDATE(StartDate,A1064-1)</f>
        <v>46935</v>
      </c>
      <c r="C1064" s="24" t="str">
        <f aca="false">Monthly!$B$38</f>
        <v>EnergyWave, Inc.</v>
      </c>
      <c r="D1064" s="24" t="str">
        <f aca="false">Monthly!$C$38</f>
        <v>Research</v>
      </c>
      <c r="E1064" s="24" t="str">
        <f aca="false">Monthly!$D$38</f>
        <v>External verification</v>
      </c>
      <c r="F1064" s="24" t="str">
        <f aca="false">Monthly!$A$38</f>
        <v>Independent third-party replication / verification</v>
      </c>
      <c r="G1064" s="20" t="n">
        <f aca="false">Monthly!X$38</f>
        <v>12500</v>
      </c>
      <c r="H1064" s="24" t="str">
        <f aca="false">ScenarioName</f>
        <v>Base</v>
      </c>
    </row>
    <row r="1065" customFormat="false" ht="15" hidden="false" customHeight="false" outlineLevel="0" collapsed="false">
      <c r="A1065" s="8" t="n">
        <v>20</v>
      </c>
      <c r="B1065" s="39" t="n">
        <f aca="false">EDATE(StartDate,A1065-1)</f>
        <v>46966</v>
      </c>
      <c r="C1065" s="24" t="str">
        <f aca="false">Monthly!$B$38</f>
        <v>EnergyWave, Inc.</v>
      </c>
      <c r="D1065" s="24" t="str">
        <f aca="false">Monthly!$C$38</f>
        <v>Research</v>
      </c>
      <c r="E1065" s="24" t="str">
        <f aca="false">Monthly!$D$38</f>
        <v>External verification</v>
      </c>
      <c r="F1065" s="24" t="str">
        <f aca="false">Monthly!$A$38</f>
        <v>Independent third-party replication / verification</v>
      </c>
      <c r="G1065" s="20" t="n">
        <f aca="false">Monthly!Y$38</f>
        <v>12500</v>
      </c>
      <c r="H1065" s="24" t="str">
        <f aca="false">ScenarioName</f>
        <v>Base</v>
      </c>
    </row>
    <row r="1066" customFormat="false" ht="15" hidden="false" customHeight="false" outlineLevel="0" collapsed="false">
      <c r="A1066" s="8" t="n">
        <v>21</v>
      </c>
      <c r="B1066" s="39" t="n">
        <f aca="false">EDATE(StartDate,A1066-1)</f>
        <v>46997</v>
      </c>
      <c r="C1066" s="24" t="str">
        <f aca="false">Monthly!$B$38</f>
        <v>EnergyWave, Inc.</v>
      </c>
      <c r="D1066" s="24" t="str">
        <f aca="false">Monthly!$C$38</f>
        <v>Research</v>
      </c>
      <c r="E1066" s="24" t="str">
        <f aca="false">Monthly!$D$38</f>
        <v>External verification</v>
      </c>
      <c r="F1066" s="24" t="str">
        <f aca="false">Monthly!$A$38</f>
        <v>Independent third-party replication / verification</v>
      </c>
      <c r="G1066" s="20" t="n">
        <f aca="false">Monthly!Z$38</f>
        <v>12500</v>
      </c>
      <c r="H1066" s="24" t="str">
        <f aca="false">ScenarioName</f>
        <v>Base</v>
      </c>
    </row>
    <row r="1067" customFormat="false" ht="15" hidden="false" customHeight="false" outlineLevel="0" collapsed="false">
      <c r="A1067" s="8" t="n">
        <v>22</v>
      </c>
      <c r="B1067" s="39" t="n">
        <f aca="false">EDATE(StartDate,A1067-1)</f>
        <v>47027</v>
      </c>
      <c r="C1067" s="24" t="str">
        <f aca="false">Monthly!$B$38</f>
        <v>EnergyWave, Inc.</v>
      </c>
      <c r="D1067" s="24" t="str">
        <f aca="false">Monthly!$C$38</f>
        <v>Research</v>
      </c>
      <c r="E1067" s="24" t="str">
        <f aca="false">Monthly!$D$38</f>
        <v>External verification</v>
      </c>
      <c r="F1067" s="24" t="str">
        <f aca="false">Monthly!$A$38</f>
        <v>Independent third-party replication / verification</v>
      </c>
      <c r="G1067" s="20" t="n">
        <f aca="false">Monthly!AA$38</f>
        <v>12500</v>
      </c>
      <c r="H1067" s="24" t="str">
        <f aca="false">ScenarioName</f>
        <v>Base</v>
      </c>
    </row>
    <row r="1068" customFormat="false" ht="15" hidden="false" customHeight="false" outlineLevel="0" collapsed="false">
      <c r="A1068" s="8" t="n">
        <v>23</v>
      </c>
      <c r="B1068" s="39" t="n">
        <f aca="false">EDATE(StartDate,A1068-1)</f>
        <v>47058</v>
      </c>
      <c r="C1068" s="24" t="str">
        <f aca="false">Monthly!$B$38</f>
        <v>EnergyWave, Inc.</v>
      </c>
      <c r="D1068" s="24" t="str">
        <f aca="false">Monthly!$C$38</f>
        <v>Research</v>
      </c>
      <c r="E1068" s="24" t="str">
        <f aca="false">Monthly!$D$38</f>
        <v>External verification</v>
      </c>
      <c r="F1068" s="24" t="str">
        <f aca="false">Monthly!$A$38</f>
        <v>Independent third-party replication / verification</v>
      </c>
      <c r="G1068" s="20" t="n">
        <f aca="false">Monthly!AB$38</f>
        <v>12500</v>
      </c>
      <c r="H1068" s="24" t="str">
        <f aca="false">ScenarioName</f>
        <v>Base</v>
      </c>
    </row>
    <row r="1069" customFormat="false" ht="15" hidden="false" customHeight="false" outlineLevel="0" collapsed="false">
      <c r="A1069" s="8" t="n">
        <v>24</v>
      </c>
      <c r="B1069" s="39" t="n">
        <f aca="false">EDATE(StartDate,A1069-1)</f>
        <v>47088</v>
      </c>
      <c r="C1069" s="24" t="str">
        <f aca="false">Monthly!$B$38</f>
        <v>EnergyWave, Inc.</v>
      </c>
      <c r="D1069" s="24" t="str">
        <f aca="false">Monthly!$C$38</f>
        <v>Research</v>
      </c>
      <c r="E1069" s="24" t="str">
        <f aca="false">Monthly!$D$38</f>
        <v>External verification</v>
      </c>
      <c r="F1069" s="24" t="str">
        <f aca="false">Monthly!$A$38</f>
        <v>Independent third-party replication / verification</v>
      </c>
      <c r="G1069" s="20" t="n">
        <f aca="false">Monthly!AC$38</f>
        <v>12500</v>
      </c>
      <c r="H1069" s="24" t="str">
        <f aca="false">ScenarioName</f>
        <v>Base</v>
      </c>
    </row>
    <row r="1070" customFormat="false" ht="15" hidden="false" customHeight="false" outlineLevel="0" collapsed="false">
      <c r="A1070" s="8" t="n">
        <v>25</v>
      </c>
      <c r="B1070" s="39" t="n">
        <f aca="false">EDATE(StartDate,A1070-1)</f>
        <v>47119</v>
      </c>
      <c r="C1070" s="24" t="str">
        <f aca="false">Monthly!$B$38</f>
        <v>EnergyWave, Inc.</v>
      </c>
      <c r="D1070" s="24" t="str">
        <f aca="false">Monthly!$C$38</f>
        <v>Research</v>
      </c>
      <c r="E1070" s="24" t="str">
        <f aca="false">Monthly!$D$38</f>
        <v>External verification</v>
      </c>
      <c r="F1070" s="24" t="str">
        <f aca="false">Monthly!$A$38</f>
        <v>Independent third-party replication / verification</v>
      </c>
      <c r="G1070" s="20" t="n">
        <f aca="false">Monthly!AD$38</f>
        <v>12500</v>
      </c>
      <c r="H1070" s="24" t="str">
        <f aca="false">ScenarioName</f>
        <v>Base</v>
      </c>
    </row>
    <row r="1071" customFormat="false" ht="15" hidden="false" customHeight="false" outlineLevel="0" collapsed="false">
      <c r="A1071" s="8" t="n">
        <v>26</v>
      </c>
      <c r="B1071" s="39" t="n">
        <f aca="false">EDATE(StartDate,A1071-1)</f>
        <v>47150</v>
      </c>
      <c r="C1071" s="24" t="str">
        <f aca="false">Monthly!$B$38</f>
        <v>EnergyWave, Inc.</v>
      </c>
      <c r="D1071" s="24" t="str">
        <f aca="false">Monthly!$C$38</f>
        <v>Research</v>
      </c>
      <c r="E1071" s="24" t="str">
        <f aca="false">Monthly!$D$38</f>
        <v>External verification</v>
      </c>
      <c r="F1071" s="24" t="str">
        <f aca="false">Monthly!$A$38</f>
        <v>Independent third-party replication / verification</v>
      </c>
      <c r="G1071" s="20" t="n">
        <f aca="false">Monthly!AE$38</f>
        <v>12500</v>
      </c>
      <c r="H1071" s="24" t="str">
        <f aca="false">ScenarioName</f>
        <v>Base</v>
      </c>
    </row>
    <row r="1072" customFormat="false" ht="15" hidden="false" customHeight="false" outlineLevel="0" collapsed="false">
      <c r="A1072" s="8" t="n">
        <v>27</v>
      </c>
      <c r="B1072" s="39" t="n">
        <f aca="false">EDATE(StartDate,A1072-1)</f>
        <v>47178</v>
      </c>
      <c r="C1072" s="24" t="str">
        <f aca="false">Monthly!$B$38</f>
        <v>EnergyWave, Inc.</v>
      </c>
      <c r="D1072" s="24" t="str">
        <f aca="false">Monthly!$C$38</f>
        <v>Research</v>
      </c>
      <c r="E1072" s="24" t="str">
        <f aca="false">Monthly!$D$38</f>
        <v>External verification</v>
      </c>
      <c r="F1072" s="24" t="str">
        <f aca="false">Monthly!$A$38</f>
        <v>Independent third-party replication / verification</v>
      </c>
      <c r="G1072" s="20" t="n">
        <f aca="false">Monthly!AF$38</f>
        <v>12500</v>
      </c>
      <c r="H1072" s="24" t="str">
        <f aca="false">ScenarioName</f>
        <v>Base</v>
      </c>
    </row>
    <row r="1073" customFormat="false" ht="15" hidden="false" customHeight="false" outlineLevel="0" collapsed="false">
      <c r="A1073" s="8" t="n">
        <v>28</v>
      </c>
      <c r="B1073" s="39" t="n">
        <f aca="false">EDATE(StartDate,A1073-1)</f>
        <v>47209</v>
      </c>
      <c r="C1073" s="24" t="str">
        <f aca="false">Monthly!$B$38</f>
        <v>EnergyWave, Inc.</v>
      </c>
      <c r="D1073" s="24" t="str">
        <f aca="false">Monthly!$C$38</f>
        <v>Research</v>
      </c>
      <c r="E1073" s="24" t="str">
        <f aca="false">Monthly!$D$38</f>
        <v>External verification</v>
      </c>
      <c r="F1073" s="24" t="str">
        <f aca="false">Monthly!$A$38</f>
        <v>Independent third-party replication / verification</v>
      </c>
      <c r="G1073" s="20" t="n">
        <f aca="false">Monthly!AG$38</f>
        <v>12500</v>
      </c>
      <c r="H1073" s="24" t="str">
        <f aca="false">ScenarioName</f>
        <v>Base</v>
      </c>
    </row>
    <row r="1074" customFormat="false" ht="15" hidden="false" customHeight="false" outlineLevel="0" collapsed="false">
      <c r="A1074" s="8" t="n">
        <v>29</v>
      </c>
      <c r="B1074" s="39" t="n">
        <f aca="false">EDATE(StartDate,A1074-1)</f>
        <v>47239</v>
      </c>
      <c r="C1074" s="24" t="str">
        <f aca="false">Monthly!$B$38</f>
        <v>EnergyWave, Inc.</v>
      </c>
      <c r="D1074" s="24" t="str">
        <f aca="false">Monthly!$C$38</f>
        <v>Research</v>
      </c>
      <c r="E1074" s="24" t="str">
        <f aca="false">Monthly!$D$38</f>
        <v>External verification</v>
      </c>
      <c r="F1074" s="24" t="str">
        <f aca="false">Monthly!$A$38</f>
        <v>Independent third-party replication / verification</v>
      </c>
      <c r="G1074" s="20" t="n">
        <f aca="false">Monthly!AH$38</f>
        <v>12500</v>
      </c>
      <c r="H1074" s="24" t="str">
        <f aca="false">ScenarioName</f>
        <v>Base</v>
      </c>
    </row>
    <row r="1075" customFormat="false" ht="15" hidden="false" customHeight="false" outlineLevel="0" collapsed="false">
      <c r="A1075" s="8" t="n">
        <v>30</v>
      </c>
      <c r="B1075" s="39" t="n">
        <f aca="false">EDATE(StartDate,A1075-1)</f>
        <v>47270</v>
      </c>
      <c r="C1075" s="24" t="str">
        <f aca="false">Monthly!$B$38</f>
        <v>EnergyWave, Inc.</v>
      </c>
      <c r="D1075" s="24" t="str">
        <f aca="false">Monthly!$C$38</f>
        <v>Research</v>
      </c>
      <c r="E1075" s="24" t="str">
        <f aca="false">Monthly!$D$38</f>
        <v>External verification</v>
      </c>
      <c r="F1075" s="24" t="str">
        <f aca="false">Monthly!$A$38</f>
        <v>Independent third-party replication / verification</v>
      </c>
      <c r="G1075" s="20" t="n">
        <f aca="false">Monthly!AI$38</f>
        <v>12500</v>
      </c>
      <c r="H1075" s="24" t="str">
        <f aca="false">ScenarioName</f>
        <v>Base</v>
      </c>
    </row>
    <row r="1076" customFormat="false" ht="15" hidden="false" customHeight="false" outlineLevel="0" collapsed="false">
      <c r="A1076" s="8" t="n">
        <v>31</v>
      </c>
      <c r="B1076" s="39" t="n">
        <f aca="false">EDATE(StartDate,A1076-1)</f>
        <v>47300</v>
      </c>
      <c r="C1076" s="24" t="str">
        <f aca="false">Monthly!$B$38</f>
        <v>EnergyWave, Inc.</v>
      </c>
      <c r="D1076" s="24" t="str">
        <f aca="false">Monthly!$C$38</f>
        <v>Research</v>
      </c>
      <c r="E1076" s="24" t="str">
        <f aca="false">Monthly!$D$38</f>
        <v>External verification</v>
      </c>
      <c r="F1076" s="24" t="str">
        <f aca="false">Monthly!$A$38</f>
        <v>Independent third-party replication / verification</v>
      </c>
      <c r="G1076" s="20" t="n">
        <f aca="false">Monthly!AJ$38</f>
        <v>12500</v>
      </c>
      <c r="H1076" s="24" t="str">
        <f aca="false">ScenarioName</f>
        <v>Base</v>
      </c>
    </row>
    <row r="1077" customFormat="false" ht="15" hidden="false" customHeight="false" outlineLevel="0" collapsed="false">
      <c r="A1077" s="8" t="n">
        <v>32</v>
      </c>
      <c r="B1077" s="39" t="n">
        <f aca="false">EDATE(StartDate,A1077-1)</f>
        <v>47331</v>
      </c>
      <c r="C1077" s="24" t="str">
        <f aca="false">Monthly!$B$38</f>
        <v>EnergyWave, Inc.</v>
      </c>
      <c r="D1077" s="24" t="str">
        <f aca="false">Monthly!$C$38</f>
        <v>Research</v>
      </c>
      <c r="E1077" s="24" t="str">
        <f aca="false">Monthly!$D$38</f>
        <v>External verification</v>
      </c>
      <c r="F1077" s="24" t="str">
        <f aca="false">Monthly!$A$38</f>
        <v>Independent third-party replication / verification</v>
      </c>
      <c r="G1077" s="20" t="n">
        <f aca="false">Monthly!AK$38</f>
        <v>12500</v>
      </c>
      <c r="H1077" s="24" t="str">
        <f aca="false">ScenarioName</f>
        <v>Base</v>
      </c>
    </row>
    <row r="1078" customFormat="false" ht="15" hidden="false" customHeight="false" outlineLevel="0" collapsed="false">
      <c r="A1078" s="8" t="n">
        <v>33</v>
      </c>
      <c r="B1078" s="39" t="n">
        <f aca="false">EDATE(StartDate,A1078-1)</f>
        <v>47362</v>
      </c>
      <c r="C1078" s="24" t="str">
        <f aca="false">Monthly!$B$38</f>
        <v>EnergyWave, Inc.</v>
      </c>
      <c r="D1078" s="24" t="str">
        <f aca="false">Monthly!$C$38</f>
        <v>Research</v>
      </c>
      <c r="E1078" s="24" t="str">
        <f aca="false">Monthly!$D$38</f>
        <v>External verification</v>
      </c>
      <c r="F1078" s="24" t="str">
        <f aca="false">Monthly!$A$38</f>
        <v>Independent third-party replication / verification</v>
      </c>
      <c r="G1078" s="20" t="n">
        <f aca="false">Monthly!AL$38</f>
        <v>12500</v>
      </c>
      <c r="H1078" s="24" t="str">
        <f aca="false">ScenarioName</f>
        <v>Base</v>
      </c>
    </row>
    <row r="1079" customFormat="false" ht="15" hidden="false" customHeight="false" outlineLevel="0" collapsed="false">
      <c r="A1079" s="8" t="n">
        <v>34</v>
      </c>
      <c r="B1079" s="39" t="n">
        <f aca="false">EDATE(StartDate,A1079-1)</f>
        <v>47392</v>
      </c>
      <c r="C1079" s="24" t="str">
        <f aca="false">Monthly!$B$38</f>
        <v>EnergyWave, Inc.</v>
      </c>
      <c r="D1079" s="24" t="str">
        <f aca="false">Monthly!$C$38</f>
        <v>Research</v>
      </c>
      <c r="E1079" s="24" t="str">
        <f aca="false">Monthly!$D$38</f>
        <v>External verification</v>
      </c>
      <c r="F1079" s="24" t="str">
        <f aca="false">Monthly!$A$38</f>
        <v>Independent third-party replication / verification</v>
      </c>
      <c r="G1079" s="20" t="n">
        <f aca="false">Monthly!AM$38</f>
        <v>12500</v>
      </c>
      <c r="H1079" s="24" t="str">
        <f aca="false">ScenarioName</f>
        <v>Base</v>
      </c>
    </row>
    <row r="1080" customFormat="false" ht="15" hidden="false" customHeight="false" outlineLevel="0" collapsed="false">
      <c r="A1080" s="8" t="n">
        <v>35</v>
      </c>
      <c r="B1080" s="39" t="n">
        <f aca="false">EDATE(StartDate,A1080-1)</f>
        <v>47423</v>
      </c>
      <c r="C1080" s="24" t="str">
        <f aca="false">Monthly!$B$38</f>
        <v>EnergyWave, Inc.</v>
      </c>
      <c r="D1080" s="24" t="str">
        <f aca="false">Monthly!$C$38</f>
        <v>Research</v>
      </c>
      <c r="E1080" s="24" t="str">
        <f aca="false">Monthly!$D$38</f>
        <v>External verification</v>
      </c>
      <c r="F1080" s="24" t="str">
        <f aca="false">Monthly!$A$38</f>
        <v>Independent third-party replication / verification</v>
      </c>
      <c r="G1080" s="20" t="n">
        <f aca="false">Monthly!AN$38</f>
        <v>12500</v>
      </c>
      <c r="H1080" s="24" t="str">
        <f aca="false">ScenarioName</f>
        <v>Base</v>
      </c>
    </row>
    <row r="1081" customFormat="false" ht="15" hidden="false" customHeight="false" outlineLevel="0" collapsed="false">
      <c r="A1081" s="8" t="n">
        <v>36</v>
      </c>
      <c r="B1081" s="39" t="n">
        <f aca="false">EDATE(StartDate,A1081-1)</f>
        <v>47453</v>
      </c>
      <c r="C1081" s="24" t="str">
        <f aca="false">Monthly!$B$38</f>
        <v>EnergyWave, Inc.</v>
      </c>
      <c r="D1081" s="24" t="str">
        <f aca="false">Monthly!$C$38</f>
        <v>Research</v>
      </c>
      <c r="E1081" s="24" t="str">
        <f aca="false">Monthly!$D$38</f>
        <v>External verification</v>
      </c>
      <c r="F1081" s="24" t="str">
        <f aca="false">Monthly!$A$38</f>
        <v>Independent third-party replication / verification</v>
      </c>
      <c r="G1081" s="20" t="n">
        <f aca="false">Monthly!AO$38</f>
        <v>12500</v>
      </c>
      <c r="H1081" s="24" t="str">
        <f aca="false">ScenarioName</f>
        <v>Base</v>
      </c>
    </row>
    <row r="1082" customFormat="false" ht="15" hidden="false" customHeight="false" outlineLevel="0" collapsed="false">
      <c r="A1082" s="8" t="n">
        <v>1</v>
      </c>
      <c r="B1082" s="39" t="n">
        <f aca="false">EDATE(StartDate,A1082-1)</f>
        <v>46388</v>
      </c>
      <c r="C1082" s="24" t="str">
        <f aca="false">Monthly!$B$39</f>
        <v>EnergyWave, Inc.</v>
      </c>
      <c r="D1082" s="24" t="str">
        <f aca="false">Monthly!$C$39</f>
        <v>Research</v>
      </c>
      <c r="E1082" s="24" t="str">
        <f aca="false">Monthly!$D$39</f>
        <v>University partnership</v>
      </c>
      <c r="F1082" s="24" t="str">
        <f aca="false">Monthly!$A$39</f>
        <v>UCI / NFCRC facility-use or sponsored-research agreement</v>
      </c>
      <c r="G1082" s="20" t="n">
        <f aca="false">Monthly!F$39</f>
        <v>0</v>
      </c>
      <c r="H1082" s="24" t="str">
        <f aca="false">ScenarioName</f>
        <v>Base</v>
      </c>
    </row>
    <row r="1083" customFormat="false" ht="15" hidden="false" customHeight="false" outlineLevel="0" collapsed="false">
      <c r="A1083" s="8" t="n">
        <v>2</v>
      </c>
      <c r="B1083" s="39" t="n">
        <f aca="false">EDATE(StartDate,A1083-1)</f>
        <v>46419</v>
      </c>
      <c r="C1083" s="24" t="str">
        <f aca="false">Monthly!$B$39</f>
        <v>EnergyWave, Inc.</v>
      </c>
      <c r="D1083" s="24" t="str">
        <f aca="false">Monthly!$C$39</f>
        <v>Research</v>
      </c>
      <c r="E1083" s="24" t="str">
        <f aca="false">Monthly!$D$39</f>
        <v>University partnership</v>
      </c>
      <c r="F1083" s="24" t="str">
        <f aca="false">Monthly!$A$39</f>
        <v>UCI / NFCRC facility-use or sponsored-research agreement</v>
      </c>
      <c r="G1083" s="20" t="n">
        <f aca="false">Monthly!G$39</f>
        <v>0</v>
      </c>
      <c r="H1083" s="24" t="str">
        <f aca="false">ScenarioName</f>
        <v>Base</v>
      </c>
    </row>
    <row r="1084" customFormat="false" ht="15" hidden="false" customHeight="false" outlineLevel="0" collapsed="false">
      <c r="A1084" s="8" t="n">
        <v>3</v>
      </c>
      <c r="B1084" s="39" t="n">
        <f aca="false">EDATE(StartDate,A1084-1)</f>
        <v>46447</v>
      </c>
      <c r="C1084" s="24" t="str">
        <f aca="false">Monthly!$B$39</f>
        <v>EnergyWave, Inc.</v>
      </c>
      <c r="D1084" s="24" t="str">
        <f aca="false">Monthly!$C$39</f>
        <v>Research</v>
      </c>
      <c r="E1084" s="24" t="str">
        <f aca="false">Monthly!$D$39</f>
        <v>University partnership</v>
      </c>
      <c r="F1084" s="24" t="str">
        <f aca="false">Monthly!$A$39</f>
        <v>UCI / NFCRC facility-use or sponsored-research agreement</v>
      </c>
      <c r="G1084" s="20" t="n">
        <f aca="false">Monthly!H$39</f>
        <v>12500</v>
      </c>
      <c r="H1084" s="24" t="str">
        <f aca="false">ScenarioName</f>
        <v>Base</v>
      </c>
    </row>
    <row r="1085" customFormat="false" ht="15" hidden="false" customHeight="false" outlineLevel="0" collapsed="false">
      <c r="A1085" s="8" t="n">
        <v>4</v>
      </c>
      <c r="B1085" s="39" t="n">
        <f aca="false">EDATE(StartDate,A1085-1)</f>
        <v>46478</v>
      </c>
      <c r="C1085" s="24" t="str">
        <f aca="false">Monthly!$B$39</f>
        <v>EnergyWave, Inc.</v>
      </c>
      <c r="D1085" s="24" t="str">
        <f aca="false">Monthly!$C$39</f>
        <v>Research</v>
      </c>
      <c r="E1085" s="24" t="str">
        <f aca="false">Monthly!$D$39</f>
        <v>University partnership</v>
      </c>
      <c r="F1085" s="24" t="str">
        <f aca="false">Monthly!$A$39</f>
        <v>UCI / NFCRC facility-use or sponsored-research agreement</v>
      </c>
      <c r="G1085" s="20" t="n">
        <f aca="false">Monthly!I$39</f>
        <v>12500</v>
      </c>
      <c r="H1085" s="24" t="str">
        <f aca="false">ScenarioName</f>
        <v>Base</v>
      </c>
    </row>
    <row r="1086" customFormat="false" ht="15" hidden="false" customHeight="false" outlineLevel="0" collapsed="false">
      <c r="A1086" s="8" t="n">
        <v>5</v>
      </c>
      <c r="B1086" s="39" t="n">
        <f aca="false">EDATE(StartDate,A1086-1)</f>
        <v>46508</v>
      </c>
      <c r="C1086" s="24" t="str">
        <f aca="false">Monthly!$B$39</f>
        <v>EnergyWave, Inc.</v>
      </c>
      <c r="D1086" s="24" t="str">
        <f aca="false">Monthly!$C$39</f>
        <v>Research</v>
      </c>
      <c r="E1086" s="24" t="str">
        <f aca="false">Monthly!$D$39</f>
        <v>University partnership</v>
      </c>
      <c r="F1086" s="24" t="str">
        <f aca="false">Monthly!$A$39</f>
        <v>UCI / NFCRC facility-use or sponsored-research agreement</v>
      </c>
      <c r="G1086" s="20" t="n">
        <f aca="false">Monthly!J$39</f>
        <v>12500</v>
      </c>
      <c r="H1086" s="24" t="str">
        <f aca="false">ScenarioName</f>
        <v>Base</v>
      </c>
    </row>
    <row r="1087" customFormat="false" ht="15" hidden="false" customHeight="false" outlineLevel="0" collapsed="false">
      <c r="A1087" s="8" t="n">
        <v>6</v>
      </c>
      <c r="B1087" s="39" t="n">
        <f aca="false">EDATE(StartDate,A1087-1)</f>
        <v>46539</v>
      </c>
      <c r="C1087" s="24" t="str">
        <f aca="false">Monthly!$B$39</f>
        <v>EnergyWave, Inc.</v>
      </c>
      <c r="D1087" s="24" t="str">
        <f aca="false">Monthly!$C$39</f>
        <v>Research</v>
      </c>
      <c r="E1087" s="24" t="str">
        <f aca="false">Monthly!$D$39</f>
        <v>University partnership</v>
      </c>
      <c r="F1087" s="24" t="str">
        <f aca="false">Monthly!$A$39</f>
        <v>UCI / NFCRC facility-use or sponsored-research agreement</v>
      </c>
      <c r="G1087" s="20" t="n">
        <f aca="false">Monthly!K$39</f>
        <v>12500</v>
      </c>
      <c r="H1087" s="24" t="str">
        <f aca="false">ScenarioName</f>
        <v>Base</v>
      </c>
    </row>
    <row r="1088" customFormat="false" ht="15" hidden="false" customHeight="false" outlineLevel="0" collapsed="false">
      <c r="A1088" s="8" t="n">
        <v>7</v>
      </c>
      <c r="B1088" s="39" t="n">
        <f aca="false">EDATE(StartDate,A1088-1)</f>
        <v>46569</v>
      </c>
      <c r="C1088" s="24" t="str">
        <f aca="false">Monthly!$B$39</f>
        <v>EnergyWave, Inc.</v>
      </c>
      <c r="D1088" s="24" t="str">
        <f aca="false">Monthly!$C$39</f>
        <v>Research</v>
      </c>
      <c r="E1088" s="24" t="str">
        <f aca="false">Monthly!$D$39</f>
        <v>University partnership</v>
      </c>
      <c r="F1088" s="24" t="str">
        <f aca="false">Monthly!$A$39</f>
        <v>UCI / NFCRC facility-use or sponsored-research agreement</v>
      </c>
      <c r="G1088" s="20" t="n">
        <f aca="false">Monthly!L$39</f>
        <v>12500</v>
      </c>
      <c r="H1088" s="24" t="str">
        <f aca="false">ScenarioName</f>
        <v>Base</v>
      </c>
    </row>
    <row r="1089" customFormat="false" ht="15" hidden="false" customHeight="false" outlineLevel="0" collapsed="false">
      <c r="A1089" s="8" t="n">
        <v>8</v>
      </c>
      <c r="B1089" s="39" t="n">
        <f aca="false">EDATE(StartDate,A1089-1)</f>
        <v>46600</v>
      </c>
      <c r="C1089" s="24" t="str">
        <f aca="false">Monthly!$B$39</f>
        <v>EnergyWave, Inc.</v>
      </c>
      <c r="D1089" s="24" t="str">
        <f aca="false">Monthly!$C$39</f>
        <v>Research</v>
      </c>
      <c r="E1089" s="24" t="str">
        <f aca="false">Monthly!$D$39</f>
        <v>University partnership</v>
      </c>
      <c r="F1089" s="24" t="str">
        <f aca="false">Monthly!$A$39</f>
        <v>UCI / NFCRC facility-use or sponsored-research agreement</v>
      </c>
      <c r="G1089" s="20" t="n">
        <f aca="false">Monthly!M$39</f>
        <v>12500</v>
      </c>
      <c r="H1089" s="24" t="str">
        <f aca="false">ScenarioName</f>
        <v>Base</v>
      </c>
    </row>
    <row r="1090" customFormat="false" ht="15" hidden="false" customHeight="false" outlineLevel="0" collapsed="false">
      <c r="A1090" s="8" t="n">
        <v>9</v>
      </c>
      <c r="B1090" s="39" t="n">
        <f aca="false">EDATE(StartDate,A1090-1)</f>
        <v>46631</v>
      </c>
      <c r="C1090" s="24" t="str">
        <f aca="false">Monthly!$B$39</f>
        <v>EnergyWave, Inc.</v>
      </c>
      <c r="D1090" s="24" t="str">
        <f aca="false">Monthly!$C$39</f>
        <v>Research</v>
      </c>
      <c r="E1090" s="24" t="str">
        <f aca="false">Monthly!$D$39</f>
        <v>University partnership</v>
      </c>
      <c r="F1090" s="24" t="str">
        <f aca="false">Monthly!$A$39</f>
        <v>UCI / NFCRC facility-use or sponsored-research agreement</v>
      </c>
      <c r="G1090" s="20" t="n">
        <f aca="false">Monthly!N$39</f>
        <v>12500</v>
      </c>
      <c r="H1090" s="24" t="str">
        <f aca="false">ScenarioName</f>
        <v>Base</v>
      </c>
    </row>
    <row r="1091" customFormat="false" ht="15" hidden="false" customHeight="false" outlineLevel="0" collapsed="false">
      <c r="A1091" s="8" t="n">
        <v>10</v>
      </c>
      <c r="B1091" s="39" t="n">
        <f aca="false">EDATE(StartDate,A1091-1)</f>
        <v>46661</v>
      </c>
      <c r="C1091" s="24" t="str">
        <f aca="false">Monthly!$B$39</f>
        <v>EnergyWave, Inc.</v>
      </c>
      <c r="D1091" s="24" t="str">
        <f aca="false">Monthly!$C$39</f>
        <v>Research</v>
      </c>
      <c r="E1091" s="24" t="str">
        <f aca="false">Monthly!$D$39</f>
        <v>University partnership</v>
      </c>
      <c r="F1091" s="24" t="str">
        <f aca="false">Monthly!$A$39</f>
        <v>UCI / NFCRC facility-use or sponsored-research agreement</v>
      </c>
      <c r="G1091" s="20" t="n">
        <f aca="false">Monthly!O$39</f>
        <v>12500</v>
      </c>
      <c r="H1091" s="24" t="str">
        <f aca="false">ScenarioName</f>
        <v>Base</v>
      </c>
    </row>
    <row r="1092" customFormat="false" ht="15" hidden="false" customHeight="false" outlineLevel="0" collapsed="false">
      <c r="A1092" s="8" t="n">
        <v>11</v>
      </c>
      <c r="B1092" s="39" t="n">
        <f aca="false">EDATE(StartDate,A1092-1)</f>
        <v>46692</v>
      </c>
      <c r="C1092" s="24" t="str">
        <f aca="false">Monthly!$B$39</f>
        <v>EnergyWave, Inc.</v>
      </c>
      <c r="D1092" s="24" t="str">
        <f aca="false">Monthly!$C$39</f>
        <v>Research</v>
      </c>
      <c r="E1092" s="24" t="str">
        <f aca="false">Monthly!$D$39</f>
        <v>University partnership</v>
      </c>
      <c r="F1092" s="24" t="str">
        <f aca="false">Monthly!$A$39</f>
        <v>UCI / NFCRC facility-use or sponsored-research agreement</v>
      </c>
      <c r="G1092" s="20" t="n">
        <f aca="false">Monthly!P$39</f>
        <v>12500</v>
      </c>
      <c r="H1092" s="24" t="str">
        <f aca="false">ScenarioName</f>
        <v>Base</v>
      </c>
    </row>
    <row r="1093" customFormat="false" ht="15" hidden="false" customHeight="false" outlineLevel="0" collapsed="false">
      <c r="A1093" s="8" t="n">
        <v>12</v>
      </c>
      <c r="B1093" s="39" t="n">
        <f aca="false">EDATE(StartDate,A1093-1)</f>
        <v>46722</v>
      </c>
      <c r="C1093" s="24" t="str">
        <f aca="false">Monthly!$B$39</f>
        <v>EnergyWave, Inc.</v>
      </c>
      <c r="D1093" s="24" t="str">
        <f aca="false">Monthly!$C$39</f>
        <v>Research</v>
      </c>
      <c r="E1093" s="24" t="str">
        <f aca="false">Monthly!$D$39</f>
        <v>University partnership</v>
      </c>
      <c r="F1093" s="24" t="str">
        <f aca="false">Monthly!$A$39</f>
        <v>UCI / NFCRC facility-use or sponsored-research agreement</v>
      </c>
      <c r="G1093" s="20" t="n">
        <f aca="false">Monthly!Q$39</f>
        <v>12500</v>
      </c>
      <c r="H1093" s="24" t="str">
        <f aca="false">ScenarioName</f>
        <v>Base</v>
      </c>
    </row>
    <row r="1094" customFormat="false" ht="15" hidden="false" customHeight="false" outlineLevel="0" collapsed="false">
      <c r="A1094" s="8" t="n">
        <v>13</v>
      </c>
      <c r="B1094" s="39" t="n">
        <f aca="false">EDATE(StartDate,A1094-1)</f>
        <v>46753</v>
      </c>
      <c r="C1094" s="24" t="str">
        <f aca="false">Monthly!$B$39</f>
        <v>EnergyWave, Inc.</v>
      </c>
      <c r="D1094" s="24" t="str">
        <f aca="false">Monthly!$C$39</f>
        <v>Research</v>
      </c>
      <c r="E1094" s="24" t="str">
        <f aca="false">Monthly!$D$39</f>
        <v>University partnership</v>
      </c>
      <c r="F1094" s="24" t="str">
        <f aca="false">Monthly!$A$39</f>
        <v>UCI / NFCRC facility-use or sponsored-research agreement</v>
      </c>
      <c r="G1094" s="20" t="n">
        <f aca="false">Monthly!R$39</f>
        <v>12500</v>
      </c>
      <c r="H1094" s="24" t="str">
        <f aca="false">ScenarioName</f>
        <v>Base</v>
      </c>
    </row>
    <row r="1095" customFormat="false" ht="15" hidden="false" customHeight="false" outlineLevel="0" collapsed="false">
      <c r="A1095" s="8" t="n">
        <v>14</v>
      </c>
      <c r="B1095" s="39" t="n">
        <f aca="false">EDATE(StartDate,A1095-1)</f>
        <v>46784</v>
      </c>
      <c r="C1095" s="24" t="str">
        <f aca="false">Monthly!$B$39</f>
        <v>EnergyWave, Inc.</v>
      </c>
      <c r="D1095" s="24" t="str">
        <f aca="false">Monthly!$C$39</f>
        <v>Research</v>
      </c>
      <c r="E1095" s="24" t="str">
        <f aca="false">Monthly!$D$39</f>
        <v>University partnership</v>
      </c>
      <c r="F1095" s="24" t="str">
        <f aca="false">Monthly!$A$39</f>
        <v>UCI / NFCRC facility-use or sponsored-research agreement</v>
      </c>
      <c r="G1095" s="20" t="n">
        <f aca="false">Monthly!S$39</f>
        <v>12500</v>
      </c>
      <c r="H1095" s="24" t="str">
        <f aca="false">ScenarioName</f>
        <v>Base</v>
      </c>
    </row>
    <row r="1096" customFormat="false" ht="15" hidden="false" customHeight="false" outlineLevel="0" collapsed="false">
      <c r="A1096" s="8" t="n">
        <v>15</v>
      </c>
      <c r="B1096" s="39" t="n">
        <f aca="false">EDATE(StartDate,A1096-1)</f>
        <v>46813</v>
      </c>
      <c r="C1096" s="24" t="str">
        <f aca="false">Monthly!$B$39</f>
        <v>EnergyWave, Inc.</v>
      </c>
      <c r="D1096" s="24" t="str">
        <f aca="false">Monthly!$C$39</f>
        <v>Research</v>
      </c>
      <c r="E1096" s="24" t="str">
        <f aca="false">Monthly!$D$39</f>
        <v>University partnership</v>
      </c>
      <c r="F1096" s="24" t="str">
        <f aca="false">Monthly!$A$39</f>
        <v>UCI / NFCRC facility-use or sponsored-research agreement</v>
      </c>
      <c r="G1096" s="20" t="n">
        <f aca="false">Monthly!T$39</f>
        <v>12500</v>
      </c>
      <c r="H1096" s="24" t="str">
        <f aca="false">ScenarioName</f>
        <v>Base</v>
      </c>
    </row>
    <row r="1097" customFormat="false" ht="15" hidden="false" customHeight="false" outlineLevel="0" collapsed="false">
      <c r="A1097" s="8" t="n">
        <v>16</v>
      </c>
      <c r="B1097" s="39" t="n">
        <f aca="false">EDATE(StartDate,A1097-1)</f>
        <v>46844</v>
      </c>
      <c r="C1097" s="24" t="str">
        <f aca="false">Monthly!$B$39</f>
        <v>EnergyWave, Inc.</v>
      </c>
      <c r="D1097" s="24" t="str">
        <f aca="false">Monthly!$C$39</f>
        <v>Research</v>
      </c>
      <c r="E1097" s="24" t="str">
        <f aca="false">Monthly!$D$39</f>
        <v>University partnership</v>
      </c>
      <c r="F1097" s="24" t="str">
        <f aca="false">Monthly!$A$39</f>
        <v>UCI / NFCRC facility-use or sponsored-research agreement</v>
      </c>
      <c r="G1097" s="20" t="n">
        <f aca="false">Monthly!U$39</f>
        <v>12500</v>
      </c>
      <c r="H1097" s="24" t="str">
        <f aca="false">ScenarioName</f>
        <v>Base</v>
      </c>
    </row>
    <row r="1098" customFormat="false" ht="15" hidden="false" customHeight="false" outlineLevel="0" collapsed="false">
      <c r="A1098" s="8" t="n">
        <v>17</v>
      </c>
      <c r="B1098" s="39" t="n">
        <f aca="false">EDATE(StartDate,A1098-1)</f>
        <v>46874</v>
      </c>
      <c r="C1098" s="24" t="str">
        <f aca="false">Monthly!$B$39</f>
        <v>EnergyWave, Inc.</v>
      </c>
      <c r="D1098" s="24" t="str">
        <f aca="false">Monthly!$C$39</f>
        <v>Research</v>
      </c>
      <c r="E1098" s="24" t="str">
        <f aca="false">Monthly!$D$39</f>
        <v>University partnership</v>
      </c>
      <c r="F1098" s="24" t="str">
        <f aca="false">Monthly!$A$39</f>
        <v>UCI / NFCRC facility-use or sponsored-research agreement</v>
      </c>
      <c r="G1098" s="20" t="n">
        <f aca="false">Monthly!V$39</f>
        <v>12500</v>
      </c>
      <c r="H1098" s="24" t="str">
        <f aca="false">ScenarioName</f>
        <v>Base</v>
      </c>
    </row>
    <row r="1099" customFormat="false" ht="15" hidden="false" customHeight="false" outlineLevel="0" collapsed="false">
      <c r="A1099" s="8" t="n">
        <v>18</v>
      </c>
      <c r="B1099" s="39" t="n">
        <f aca="false">EDATE(StartDate,A1099-1)</f>
        <v>46905</v>
      </c>
      <c r="C1099" s="24" t="str">
        <f aca="false">Monthly!$B$39</f>
        <v>EnergyWave, Inc.</v>
      </c>
      <c r="D1099" s="24" t="str">
        <f aca="false">Monthly!$C$39</f>
        <v>Research</v>
      </c>
      <c r="E1099" s="24" t="str">
        <f aca="false">Monthly!$D$39</f>
        <v>University partnership</v>
      </c>
      <c r="F1099" s="24" t="str">
        <f aca="false">Monthly!$A$39</f>
        <v>UCI / NFCRC facility-use or sponsored-research agreement</v>
      </c>
      <c r="G1099" s="20" t="n">
        <f aca="false">Monthly!W$39</f>
        <v>12500</v>
      </c>
      <c r="H1099" s="24" t="str">
        <f aca="false">ScenarioName</f>
        <v>Base</v>
      </c>
    </row>
    <row r="1100" customFormat="false" ht="15" hidden="false" customHeight="false" outlineLevel="0" collapsed="false">
      <c r="A1100" s="8" t="n">
        <v>19</v>
      </c>
      <c r="B1100" s="39" t="n">
        <f aca="false">EDATE(StartDate,A1100-1)</f>
        <v>46935</v>
      </c>
      <c r="C1100" s="24" t="str">
        <f aca="false">Monthly!$B$39</f>
        <v>EnergyWave, Inc.</v>
      </c>
      <c r="D1100" s="24" t="str">
        <f aca="false">Monthly!$C$39</f>
        <v>Research</v>
      </c>
      <c r="E1100" s="24" t="str">
        <f aca="false">Monthly!$D$39</f>
        <v>University partnership</v>
      </c>
      <c r="F1100" s="24" t="str">
        <f aca="false">Monthly!$A$39</f>
        <v>UCI / NFCRC facility-use or sponsored-research agreement</v>
      </c>
      <c r="G1100" s="20" t="n">
        <f aca="false">Monthly!X$39</f>
        <v>12500</v>
      </c>
      <c r="H1100" s="24" t="str">
        <f aca="false">ScenarioName</f>
        <v>Base</v>
      </c>
    </row>
    <row r="1101" customFormat="false" ht="15" hidden="false" customHeight="false" outlineLevel="0" collapsed="false">
      <c r="A1101" s="8" t="n">
        <v>20</v>
      </c>
      <c r="B1101" s="39" t="n">
        <f aca="false">EDATE(StartDate,A1101-1)</f>
        <v>46966</v>
      </c>
      <c r="C1101" s="24" t="str">
        <f aca="false">Monthly!$B$39</f>
        <v>EnergyWave, Inc.</v>
      </c>
      <c r="D1101" s="24" t="str">
        <f aca="false">Monthly!$C$39</f>
        <v>Research</v>
      </c>
      <c r="E1101" s="24" t="str">
        <f aca="false">Monthly!$D$39</f>
        <v>University partnership</v>
      </c>
      <c r="F1101" s="24" t="str">
        <f aca="false">Monthly!$A$39</f>
        <v>UCI / NFCRC facility-use or sponsored-research agreement</v>
      </c>
      <c r="G1101" s="20" t="n">
        <f aca="false">Monthly!Y$39</f>
        <v>12500</v>
      </c>
      <c r="H1101" s="24" t="str">
        <f aca="false">ScenarioName</f>
        <v>Base</v>
      </c>
    </row>
    <row r="1102" customFormat="false" ht="15" hidden="false" customHeight="false" outlineLevel="0" collapsed="false">
      <c r="A1102" s="8" t="n">
        <v>21</v>
      </c>
      <c r="B1102" s="39" t="n">
        <f aca="false">EDATE(StartDate,A1102-1)</f>
        <v>46997</v>
      </c>
      <c r="C1102" s="24" t="str">
        <f aca="false">Monthly!$B$39</f>
        <v>EnergyWave, Inc.</v>
      </c>
      <c r="D1102" s="24" t="str">
        <f aca="false">Monthly!$C$39</f>
        <v>Research</v>
      </c>
      <c r="E1102" s="24" t="str">
        <f aca="false">Monthly!$D$39</f>
        <v>University partnership</v>
      </c>
      <c r="F1102" s="24" t="str">
        <f aca="false">Monthly!$A$39</f>
        <v>UCI / NFCRC facility-use or sponsored-research agreement</v>
      </c>
      <c r="G1102" s="20" t="n">
        <f aca="false">Monthly!Z$39</f>
        <v>12500</v>
      </c>
      <c r="H1102" s="24" t="str">
        <f aca="false">ScenarioName</f>
        <v>Base</v>
      </c>
    </row>
    <row r="1103" customFormat="false" ht="15" hidden="false" customHeight="false" outlineLevel="0" collapsed="false">
      <c r="A1103" s="8" t="n">
        <v>22</v>
      </c>
      <c r="B1103" s="39" t="n">
        <f aca="false">EDATE(StartDate,A1103-1)</f>
        <v>47027</v>
      </c>
      <c r="C1103" s="24" t="str">
        <f aca="false">Monthly!$B$39</f>
        <v>EnergyWave, Inc.</v>
      </c>
      <c r="D1103" s="24" t="str">
        <f aca="false">Monthly!$C$39</f>
        <v>Research</v>
      </c>
      <c r="E1103" s="24" t="str">
        <f aca="false">Monthly!$D$39</f>
        <v>University partnership</v>
      </c>
      <c r="F1103" s="24" t="str">
        <f aca="false">Monthly!$A$39</f>
        <v>UCI / NFCRC facility-use or sponsored-research agreement</v>
      </c>
      <c r="G1103" s="20" t="n">
        <f aca="false">Monthly!AA$39</f>
        <v>12500</v>
      </c>
      <c r="H1103" s="24" t="str">
        <f aca="false">ScenarioName</f>
        <v>Base</v>
      </c>
    </row>
    <row r="1104" customFormat="false" ht="15" hidden="false" customHeight="false" outlineLevel="0" collapsed="false">
      <c r="A1104" s="8" t="n">
        <v>23</v>
      </c>
      <c r="B1104" s="39" t="n">
        <f aca="false">EDATE(StartDate,A1104-1)</f>
        <v>47058</v>
      </c>
      <c r="C1104" s="24" t="str">
        <f aca="false">Monthly!$B$39</f>
        <v>EnergyWave, Inc.</v>
      </c>
      <c r="D1104" s="24" t="str">
        <f aca="false">Monthly!$C$39</f>
        <v>Research</v>
      </c>
      <c r="E1104" s="24" t="str">
        <f aca="false">Monthly!$D$39</f>
        <v>University partnership</v>
      </c>
      <c r="F1104" s="24" t="str">
        <f aca="false">Monthly!$A$39</f>
        <v>UCI / NFCRC facility-use or sponsored-research agreement</v>
      </c>
      <c r="G1104" s="20" t="n">
        <f aca="false">Monthly!AB$39</f>
        <v>12500</v>
      </c>
      <c r="H1104" s="24" t="str">
        <f aca="false">ScenarioName</f>
        <v>Base</v>
      </c>
    </row>
    <row r="1105" customFormat="false" ht="15" hidden="false" customHeight="false" outlineLevel="0" collapsed="false">
      <c r="A1105" s="8" t="n">
        <v>24</v>
      </c>
      <c r="B1105" s="39" t="n">
        <f aca="false">EDATE(StartDate,A1105-1)</f>
        <v>47088</v>
      </c>
      <c r="C1105" s="24" t="str">
        <f aca="false">Monthly!$B$39</f>
        <v>EnergyWave, Inc.</v>
      </c>
      <c r="D1105" s="24" t="str">
        <f aca="false">Monthly!$C$39</f>
        <v>Research</v>
      </c>
      <c r="E1105" s="24" t="str">
        <f aca="false">Monthly!$D$39</f>
        <v>University partnership</v>
      </c>
      <c r="F1105" s="24" t="str">
        <f aca="false">Monthly!$A$39</f>
        <v>UCI / NFCRC facility-use or sponsored-research agreement</v>
      </c>
      <c r="G1105" s="20" t="n">
        <f aca="false">Monthly!AC$39</f>
        <v>12500</v>
      </c>
      <c r="H1105" s="24" t="str">
        <f aca="false">ScenarioName</f>
        <v>Base</v>
      </c>
    </row>
    <row r="1106" customFormat="false" ht="15" hidden="false" customHeight="false" outlineLevel="0" collapsed="false">
      <c r="A1106" s="8" t="n">
        <v>25</v>
      </c>
      <c r="B1106" s="39" t="n">
        <f aca="false">EDATE(StartDate,A1106-1)</f>
        <v>47119</v>
      </c>
      <c r="C1106" s="24" t="str">
        <f aca="false">Monthly!$B$39</f>
        <v>EnergyWave, Inc.</v>
      </c>
      <c r="D1106" s="24" t="str">
        <f aca="false">Monthly!$C$39</f>
        <v>Research</v>
      </c>
      <c r="E1106" s="24" t="str">
        <f aca="false">Monthly!$D$39</f>
        <v>University partnership</v>
      </c>
      <c r="F1106" s="24" t="str">
        <f aca="false">Monthly!$A$39</f>
        <v>UCI / NFCRC facility-use or sponsored-research agreement</v>
      </c>
      <c r="G1106" s="20" t="n">
        <f aca="false">Monthly!AD$39</f>
        <v>12500</v>
      </c>
      <c r="H1106" s="24" t="str">
        <f aca="false">ScenarioName</f>
        <v>Base</v>
      </c>
    </row>
    <row r="1107" customFormat="false" ht="15" hidden="false" customHeight="false" outlineLevel="0" collapsed="false">
      <c r="A1107" s="8" t="n">
        <v>26</v>
      </c>
      <c r="B1107" s="39" t="n">
        <f aca="false">EDATE(StartDate,A1107-1)</f>
        <v>47150</v>
      </c>
      <c r="C1107" s="24" t="str">
        <f aca="false">Monthly!$B$39</f>
        <v>EnergyWave, Inc.</v>
      </c>
      <c r="D1107" s="24" t="str">
        <f aca="false">Monthly!$C$39</f>
        <v>Research</v>
      </c>
      <c r="E1107" s="24" t="str">
        <f aca="false">Monthly!$D$39</f>
        <v>University partnership</v>
      </c>
      <c r="F1107" s="24" t="str">
        <f aca="false">Monthly!$A$39</f>
        <v>UCI / NFCRC facility-use or sponsored-research agreement</v>
      </c>
      <c r="G1107" s="20" t="n">
        <f aca="false">Monthly!AE$39</f>
        <v>12500</v>
      </c>
      <c r="H1107" s="24" t="str">
        <f aca="false">ScenarioName</f>
        <v>Base</v>
      </c>
    </row>
    <row r="1108" customFormat="false" ht="15" hidden="false" customHeight="false" outlineLevel="0" collapsed="false">
      <c r="A1108" s="8" t="n">
        <v>27</v>
      </c>
      <c r="B1108" s="39" t="n">
        <f aca="false">EDATE(StartDate,A1108-1)</f>
        <v>47178</v>
      </c>
      <c r="C1108" s="24" t="str">
        <f aca="false">Monthly!$B$39</f>
        <v>EnergyWave, Inc.</v>
      </c>
      <c r="D1108" s="24" t="str">
        <f aca="false">Monthly!$C$39</f>
        <v>Research</v>
      </c>
      <c r="E1108" s="24" t="str">
        <f aca="false">Monthly!$D$39</f>
        <v>University partnership</v>
      </c>
      <c r="F1108" s="24" t="str">
        <f aca="false">Monthly!$A$39</f>
        <v>UCI / NFCRC facility-use or sponsored-research agreement</v>
      </c>
      <c r="G1108" s="20" t="n">
        <f aca="false">Monthly!AF$39</f>
        <v>12500</v>
      </c>
      <c r="H1108" s="24" t="str">
        <f aca="false">ScenarioName</f>
        <v>Base</v>
      </c>
    </row>
    <row r="1109" customFormat="false" ht="15" hidden="false" customHeight="false" outlineLevel="0" collapsed="false">
      <c r="A1109" s="8" t="n">
        <v>28</v>
      </c>
      <c r="B1109" s="39" t="n">
        <f aca="false">EDATE(StartDate,A1109-1)</f>
        <v>47209</v>
      </c>
      <c r="C1109" s="24" t="str">
        <f aca="false">Monthly!$B$39</f>
        <v>EnergyWave, Inc.</v>
      </c>
      <c r="D1109" s="24" t="str">
        <f aca="false">Monthly!$C$39</f>
        <v>Research</v>
      </c>
      <c r="E1109" s="24" t="str">
        <f aca="false">Monthly!$D$39</f>
        <v>University partnership</v>
      </c>
      <c r="F1109" s="24" t="str">
        <f aca="false">Monthly!$A$39</f>
        <v>UCI / NFCRC facility-use or sponsored-research agreement</v>
      </c>
      <c r="G1109" s="20" t="n">
        <f aca="false">Monthly!AG$39</f>
        <v>12500</v>
      </c>
      <c r="H1109" s="24" t="str">
        <f aca="false">ScenarioName</f>
        <v>Base</v>
      </c>
    </row>
    <row r="1110" customFormat="false" ht="15" hidden="false" customHeight="false" outlineLevel="0" collapsed="false">
      <c r="A1110" s="8" t="n">
        <v>29</v>
      </c>
      <c r="B1110" s="39" t="n">
        <f aca="false">EDATE(StartDate,A1110-1)</f>
        <v>47239</v>
      </c>
      <c r="C1110" s="24" t="str">
        <f aca="false">Monthly!$B$39</f>
        <v>EnergyWave, Inc.</v>
      </c>
      <c r="D1110" s="24" t="str">
        <f aca="false">Monthly!$C$39</f>
        <v>Research</v>
      </c>
      <c r="E1110" s="24" t="str">
        <f aca="false">Monthly!$D$39</f>
        <v>University partnership</v>
      </c>
      <c r="F1110" s="24" t="str">
        <f aca="false">Monthly!$A$39</f>
        <v>UCI / NFCRC facility-use or sponsored-research agreement</v>
      </c>
      <c r="G1110" s="20" t="n">
        <f aca="false">Monthly!AH$39</f>
        <v>12500</v>
      </c>
      <c r="H1110" s="24" t="str">
        <f aca="false">ScenarioName</f>
        <v>Base</v>
      </c>
    </row>
    <row r="1111" customFormat="false" ht="15" hidden="false" customHeight="false" outlineLevel="0" collapsed="false">
      <c r="A1111" s="8" t="n">
        <v>30</v>
      </c>
      <c r="B1111" s="39" t="n">
        <f aca="false">EDATE(StartDate,A1111-1)</f>
        <v>47270</v>
      </c>
      <c r="C1111" s="24" t="str">
        <f aca="false">Monthly!$B$39</f>
        <v>EnergyWave, Inc.</v>
      </c>
      <c r="D1111" s="24" t="str">
        <f aca="false">Monthly!$C$39</f>
        <v>Research</v>
      </c>
      <c r="E1111" s="24" t="str">
        <f aca="false">Monthly!$D$39</f>
        <v>University partnership</v>
      </c>
      <c r="F1111" s="24" t="str">
        <f aca="false">Monthly!$A$39</f>
        <v>UCI / NFCRC facility-use or sponsored-research agreement</v>
      </c>
      <c r="G1111" s="20" t="n">
        <f aca="false">Monthly!AI$39</f>
        <v>12500</v>
      </c>
      <c r="H1111" s="24" t="str">
        <f aca="false">ScenarioName</f>
        <v>Base</v>
      </c>
    </row>
    <row r="1112" customFormat="false" ht="15" hidden="false" customHeight="false" outlineLevel="0" collapsed="false">
      <c r="A1112" s="8" t="n">
        <v>31</v>
      </c>
      <c r="B1112" s="39" t="n">
        <f aca="false">EDATE(StartDate,A1112-1)</f>
        <v>47300</v>
      </c>
      <c r="C1112" s="24" t="str">
        <f aca="false">Monthly!$B$39</f>
        <v>EnergyWave, Inc.</v>
      </c>
      <c r="D1112" s="24" t="str">
        <f aca="false">Monthly!$C$39</f>
        <v>Research</v>
      </c>
      <c r="E1112" s="24" t="str">
        <f aca="false">Monthly!$D$39</f>
        <v>University partnership</v>
      </c>
      <c r="F1112" s="24" t="str">
        <f aca="false">Monthly!$A$39</f>
        <v>UCI / NFCRC facility-use or sponsored-research agreement</v>
      </c>
      <c r="G1112" s="20" t="n">
        <f aca="false">Monthly!AJ$39</f>
        <v>12500</v>
      </c>
      <c r="H1112" s="24" t="str">
        <f aca="false">ScenarioName</f>
        <v>Base</v>
      </c>
    </row>
    <row r="1113" customFormat="false" ht="15" hidden="false" customHeight="false" outlineLevel="0" collapsed="false">
      <c r="A1113" s="8" t="n">
        <v>32</v>
      </c>
      <c r="B1113" s="39" t="n">
        <f aca="false">EDATE(StartDate,A1113-1)</f>
        <v>47331</v>
      </c>
      <c r="C1113" s="24" t="str">
        <f aca="false">Monthly!$B$39</f>
        <v>EnergyWave, Inc.</v>
      </c>
      <c r="D1113" s="24" t="str">
        <f aca="false">Monthly!$C$39</f>
        <v>Research</v>
      </c>
      <c r="E1113" s="24" t="str">
        <f aca="false">Monthly!$D$39</f>
        <v>University partnership</v>
      </c>
      <c r="F1113" s="24" t="str">
        <f aca="false">Monthly!$A$39</f>
        <v>UCI / NFCRC facility-use or sponsored-research agreement</v>
      </c>
      <c r="G1113" s="20" t="n">
        <f aca="false">Monthly!AK$39</f>
        <v>12500</v>
      </c>
      <c r="H1113" s="24" t="str">
        <f aca="false">ScenarioName</f>
        <v>Base</v>
      </c>
    </row>
    <row r="1114" customFormat="false" ht="15" hidden="false" customHeight="false" outlineLevel="0" collapsed="false">
      <c r="A1114" s="8" t="n">
        <v>33</v>
      </c>
      <c r="B1114" s="39" t="n">
        <f aca="false">EDATE(StartDate,A1114-1)</f>
        <v>47362</v>
      </c>
      <c r="C1114" s="24" t="str">
        <f aca="false">Monthly!$B$39</f>
        <v>EnergyWave, Inc.</v>
      </c>
      <c r="D1114" s="24" t="str">
        <f aca="false">Monthly!$C$39</f>
        <v>Research</v>
      </c>
      <c r="E1114" s="24" t="str">
        <f aca="false">Monthly!$D$39</f>
        <v>University partnership</v>
      </c>
      <c r="F1114" s="24" t="str">
        <f aca="false">Monthly!$A$39</f>
        <v>UCI / NFCRC facility-use or sponsored-research agreement</v>
      </c>
      <c r="G1114" s="20" t="n">
        <f aca="false">Monthly!AL$39</f>
        <v>12500</v>
      </c>
      <c r="H1114" s="24" t="str">
        <f aca="false">ScenarioName</f>
        <v>Base</v>
      </c>
    </row>
    <row r="1115" customFormat="false" ht="15" hidden="false" customHeight="false" outlineLevel="0" collapsed="false">
      <c r="A1115" s="8" t="n">
        <v>34</v>
      </c>
      <c r="B1115" s="39" t="n">
        <f aca="false">EDATE(StartDate,A1115-1)</f>
        <v>47392</v>
      </c>
      <c r="C1115" s="24" t="str">
        <f aca="false">Monthly!$B$39</f>
        <v>EnergyWave, Inc.</v>
      </c>
      <c r="D1115" s="24" t="str">
        <f aca="false">Monthly!$C$39</f>
        <v>Research</v>
      </c>
      <c r="E1115" s="24" t="str">
        <f aca="false">Monthly!$D$39</f>
        <v>University partnership</v>
      </c>
      <c r="F1115" s="24" t="str">
        <f aca="false">Monthly!$A$39</f>
        <v>UCI / NFCRC facility-use or sponsored-research agreement</v>
      </c>
      <c r="G1115" s="20" t="n">
        <f aca="false">Monthly!AM$39</f>
        <v>12500</v>
      </c>
      <c r="H1115" s="24" t="str">
        <f aca="false">ScenarioName</f>
        <v>Base</v>
      </c>
    </row>
    <row r="1116" customFormat="false" ht="15" hidden="false" customHeight="false" outlineLevel="0" collapsed="false">
      <c r="A1116" s="8" t="n">
        <v>35</v>
      </c>
      <c r="B1116" s="39" t="n">
        <f aca="false">EDATE(StartDate,A1116-1)</f>
        <v>47423</v>
      </c>
      <c r="C1116" s="24" t="str">
        <f aca="false">Monthly!$B$39</f>
        <v>EnergyWave, Inc.</v>
      </c>
      <c r="D1116" s="24" t="str">
        <f aca="false">Monthly!$C$39</f>
        <v>Research</v>
      </c>
      <c r="E1116" s="24" t="str">
        <f aca="false">Monthly!$D$39</f>
        <v>University partnership</v>
      </c>
      <c r="F1116" s="24" t="str">
        <f aca="false">Monthly!$A$39</f>
        <v>UCI / NFCRC facility-use or sponsored-research agreement</v>
      </c>
      <c r="G1116" s="20" t="n">
        <f aca="false">Monthly!AN$39</f>
        <v>12500</v>
      </c>
      <c r="H1116" s="24" t="str">
        <f aca="false">ScenarioName</f>
        <v>Base</v>
      </c>
    </row>
    <row r="1117" customFormat="false" ht="15" hidden="false" customHeight="false" outlineLevel="0" collapsed="false">
      <c r="A1117" s="8" t="n">
        <v>36</v>
      </c>
      <c r="B1117" s="39" t="n">
        <f aca="false">EDATE(StartDate,A1117-1)</f>
        <v>47453</v>
      </c>
      <c r="C1117" s="24" t="str">
        <f aca="false">Monthly!$B$39</f>
        <v>EnergyWave, Inc.</v>
      </c>
      <c r="D1117" s="24" t="str">
        <f aca="false">Monthly!$C$39</f>
        <v>Research</v>
      </c>
      <c r="E1117" s="24" t="str">
        <f aca="false">Monthly!$D$39</f>
        <v>University partnership</v>
      </c>
      <c r="F1117" s="24" t="str">
        <f aca="false">Monthly!$A$39</f>
        <v>UCI / NFCRC facility-use or sponsored-research agreement</v>
      </c>
      <c r="G1117" s="20" t="n">
        <f aca="false">Monthly!AO$39</f>
        <v>12500</v>
      </c>
      <c r="H1117" s="24" t="str">
        <f aca="false">ScenarioName</f>
        <v>Base</v>
      </c>
    </row>
    <row r="1118" customFormat="false" ht="15" hidden="false" customHeight="false" outlineLevel="0" collapsed="false">
      <c r="A1118" s="8" t="n">
        <v>1</v>
      </c>
      <c r="B1118" s="39" t="n">
        <f aca="false">EDATE(StartDate,A1118-1)</f>
        <v>46388</v>
      </c>
      <c r="C1118" s="24" t="str">
        <f aca="false">Monthly!$B$40</f>
        <v>EnergyWave, Inc.</v>
      </c>
      <c r="D1118" s="24" t="str">
        <f aca="false">Monthly!$C$40</f>
        <v>Legal</v>
      </c>
      <c r="E1118" s="24" t="str">
        <f aca="false">Monthly!$D$40</f>
        <v>IP</v>
      </c>
      <c r="F1118" s="24" t="str">
        <f aca="false">Monthly!$A$40</f>
        <v>K&amp;L Gates IP retainer (Novak / Majewski)</v>
      </c>
      <c r="G1118" s="20" t="n">
        <f aca="false">Monthly!F$40</f>
        <v>15000</v>
      </c>
      <c r="H1118" s="24" t="str">
        <f aca="false">ScenarioName</f>
        <v>Base</v>
      </c>
    </row>
    <row r="1119" customFormat="false" ht="15" hidden="false" customHeight="false" outlineLevel="0" collapsed="false">
      <c r="A1119" s="8" t="n">
        <v>2</v>
      </c>
      <c r="B1119" s="39" t="n">
        <f aca="false">EDATE(StartDate,A1119-1)</f>
        <v>46419</v>
      </c>
      <c r="C1119" s="24" t="str">
        <f aca="false">Monthly!$B$40</f>
        <v>EnergyWave, Inc.</v>
      </c>
      <c r="D1119" s="24" t="str">
        <f aca="false">Monthly!$C$40</f>
        <v>Legal</v>
      </c>
      <c r="E1119" s="24" t="str">
        <f aca="false">Monthly!$D$40</f>
        <v>IP</v>
      </c>
      <c r="F1119" s="24" t="str">
        <f aca="false">Monthly!$A$40</f>
        <v>K&amp;L Gates IP retainer (Novak / Majewski)</v>
      </c>
      <c r="G1119" s="20" t="n">
        <f aca="false">Monthly!G$40</f>
        <v>15000</v>
      </c>
      <c r="H1119" s="24" t="str">
        <f aca="false">ScenarioName</f>
        <v>Base</v>
      </c>
    </row>
    <row r="1120" customFormat="false" ht="15" hidden="false" customHeight="false" outlineLevel="0" collapsed="false">
      <c r="A1120" s="8" t="n">
        <v>3</v>
      </c>
      <c r="B1120" s="39" t="n">
        <f aca="false">EDATE(StartDate,A1120-1)</f>
        <v>46447</v>
      </c>
      <c r="C1120" s="24" t="str">
        <f aca="false">Monthly!$B$40</f>
        <v>EnergyWave, Inc.</v>
      </c>
      <c r="D1120" s="24" t="str">
        <f aca="false">Monthly!$C$40</f>
        <v>Legal</v>
      </c>
      <c r="E1120" s="24" t="str">
        <f aca="false">Monthly!$D$40</f>
        <v>IP</v>
      </c>
      <c r="F1120" s="24" t="str">
        <f aca="false">Monthly!$A$40</f>
        <v>K&amp;L Gates IP retainer (Novak / Majewski)</v>
      </c>
      <c r="G1120" s="20" t="n">
        <f aca="false">Monthly!H$40</f>
        <v>15000</v>
      </c>
      <c r="H1120" s="24" t="str">
        <f aca="false">ScenarioName</f>
        <v>Base</v>
      </c>
    </row>
    <row r="1121" customFormat="false" ht="15" hidden="false" customHeight="false" outlineLevel="0" collapsed="false">
      <c r="A1121" s="8" t="n">
        <v>4</v>
      </c>
      <c r="B1121" s="39" t="n">
        <f aca="false">EDATE(StartDate,A1121-1)</f>
        <v>46478</v>
      </c>
      <c r="C1121" s="24" t="str">
        <f aca="false">Monthly!$B$40</f>
        <v>EnergyWave, Inc.</v>
      </c>
      <c r="D1121" s="24" t="str">
        <f aca="false">Monthly!$C$40</f>
        <v>Legal</v>
      </c>
      <c r="E1121" s="24" t="str">
        <f aca="false">Monthly!$D$40</f>
        <v>IP</v>
      </c>
      <c r="F1121" s="24" t="str">
        <f aca="false">Monthly!$A$40</f>
        <v>K&amp;L Gates IP retainer (Novak / Majewski)</v>
      </c>
      <c r="G1121" s="20" t="n">
        <f aca="false">Monthly!I$40</f>
        <v>15000</v>
      </c>
      <c r="H1121" s="24" t="str">
        <f aca="false">ScenarioName</f>
        <v>Base</v>
      </c>
    </row>
    <row r="1122" customFormat="false" ht="15" hidden="false" customHeight="false" outlineLevel="0" collapsed="false">
      <c r="A1122" s="8" t="n">
        <v>5</v>
      </c>
      <c r="B1122" s="39" t="n">
        <f aca="false">EDATE(StartDate,A1122-1)</f>
        <v>46508</v>
      </c>
      <c r="C1122" s="24" t="str">
        <f aca="false">Monthly!$B$40</f>
        <v>EnergyWave, Inc.</v>
      </c>
      <c r="D1122" s="24" t="str">
        <f aca="false">Monthly!$C$40</f>
        <v>Legal</v>
      </c>
      <c r="E1122" s="24" t="str">
        <f aca="false">Monthly!$D$40</f>
        <v>IP</v>
      </c>
      <c r="F1122" s="24" t="str">
        <f aca="false">Monthly!$A$40</f>
        <v>K&amp;L Gates IP retainer (Novak / Majewski)</v>
      </c>
      <c r="G1122" s="20" t="n">
        <f aca="false">Monthly!J$40</f>
        <v>15000</v>
      </c>
      <c r="H1122" s="24" t="str">
        <f aca="false">ScenarioName</f>
        <v>Base</v>
      </c>
    </row>
    <row r="1123" customFormat="false" ht="15" hidden="false" customHeight="false" outlineLevel="0" collapsed="false">
      <c r="A1123" s="8" t="n">
        <v>6</v>
      </c>
      <c r="B1123" s="39" t="n">
        <f aca="false">EDATE(StartDate,A1123-1)</f>
        <v>46539</v>
      </c>
      <c r="C1123" s="24" t="str">
        <f aca="false">Monthly!$B$40</f>
        <v>EnergyWave, Inc.</v>
      </c>
      <c r="D1123" s="24" t="str">
        <f aca="false">Monthly!$C$40</f>
        <v>Legal</v>
      </c>
      <c r="E1123" s="24" t="str">
        <f aca="false">Monthly!$D$40</f>
        <v>IP</v>
      </c>
      <c r="F1123" s="24" t="str">
        <f aca="false">Monthly!$A$40</f>
        <v>K&amp;L Gates IP retainer (Novak / Majewski)</v>
      </c>
      <c r="G1123" s="20" t="n">
        <f aca="false">Monthly!K$40</f>
        <v>15000</v>
      </c>
      <c r="H1123" s="24" t="str">
        <f aca="false">ScenarioName</f>
        <v>Base</v>
      </c>
    </row>
    <row r="1124" customFormat="false" ht="15" hidden="false" customHeight="false" outlineLevel="0" collapsed="false">
      <c r="A1124" s="8" t="n">
        <v>7</v>
      </c>
      <c r="B1124" s="39" t="n">
        <f aca="false">EDATE(StartDate,A1124-1)</f>
        <v>46569</v>
      </c>
      <c r="C1124" s="24" t="str">
        <f aca="false">Monthly!$B$40</f>
        <v>EnergyWave, Inc.</v>
      </c>
      <c r="D1124" s="24" t="str">
        <f aca="false">Monthly!$C$40</f>
        <v>Legal</v>
      </c>
      <c r="E1124" s="24" t="str">
        <f aca="false">Monthly!$D$40</f>
        <v>IP</v>
      </c>
      <c r="F1124" s="24" t="str">
        <f aca="false">Monthly!$A$40</f>
        <v>K&amp;L Gates IP retainer (Novak / Majewski)</v>
      </c>
      <c r="G1124" s="20" t="n">
        <f aca="false">Monthly!L$40</f>
        <v>15000</v>
      </c>
      <c r="H1124" s="24" t="str">
        <f aca="false">ScenarioName</f>
        <v>Base</v>
      </c>
    </row>
    <row r="1125" customFormat="false" ht="15" hidden="false" customHeight="false" outlineLevel="0" collapsed="false">
      <c r="A1125" s="8" t="n">
        <v>8</v>
      </c>
      <c r="B1125" s="39" t="n">
        <f aca="false">EDATE(StartDate,A1125-1)</f>
        <v>46600</v>
      </c>
      <c r="C1125" s="24" t="str">
        <f aca="false">Monthly!$B$40</f>
        <v>EnergyWave, Inc.</v>
      </c>
      <c r="D1125" s="24" t="str">
        <f aca="false">Monthly!$C$40</f>
        <v>Legal</v>
      </c>
      <c r="E1125" s="24" t="str">
        <f aca="false">Monthly!$D$40</f>
        <v>IP</v>
      </c>
      <c r="F1125" s="24" t="str">
        <f aca="false">Monthly!$A$40</f>
        <v>K&amp;L Gates IP retainer (Novak / Majewski)</v>
      </c>
      <c r="G1125" s="20" t="n">
        <f aca="false">Monthly!M$40</f>
        <v>15000</v>
      </c>
      <c r="H1125" s="24" t="str">
        <f aca="false">ScenarioName</f>
        <v>Base</v>
      </c>
    </row>
    <row r="1126" customFormat="false" ht="15" hidden="false" customHeight="false" outlineLevel="0" collapsed="false">
      <c r="A1126" s="8" t="n">
        <v>9</v>
      </c>
      <c r="B1126" s="39" t="n">
        <f aca="false">EDATE(StartDate,A1126-1)</f>
        <v>46631</v>
      </c>
      <c r="C1126" s="24" t="str">
        <f aca="false">Monthly!$B$40</f>
        <v>EnergyWave, Inc.</v>
      </c>
      <c r="D1126" s="24" t="str">
        <f aca="false">Monthly!$C$40</f>
        <v>Legal</v>
      </c>
      <c r="E1126" s="24" t="str">
        <f aca="false">Monthly!$D$40</f>
        <v>IP</v>
      </c>
      <c r="F1126" s="24" t="str">
        <f aca="false">Monthly!$A$40</f>
        <v>K&amp;L Gates IP retainer (Novak / Majewski)</v>
      </c>
      <c r="G1126" s="20" t="n">
        <f aca="false">Monthly!N$40</f>
        <v>15000</v>
      </c>
      <c r="H1126" s="24" t="str">
        <f aca="false">ScenarioName</f>
        <v>Base</v>
      </c>
    </row>
    <row r="1127" customFormat="false" ht="15" hidden="false" customHeight="false" outlineLevel="0" collapsed="false">
      <c r="A1127" s="8" t="n">
        <v>10</v>
      </c>
      <c r="B1127" s="39" t="n">
        <f aca="false">EDATE(StartDate,A1127-1)</f>
        <v>46661</v>
      </c>
      <c r="C1127" s="24" t="str">
        <f aca="false">Monthly!$B$40</f>
        <v>EnergyWave, Inc.</v>
      </c>
      <c r="D1127" s="24" t="str">
        <f aca="false">Monthly!$C$40</f>
        <v>Legal</v>
      </c>
      <c r="E1127" s="24" t="str">
        <f aca="false">Monthly!$D$40</f>
        <v>IP</v>
      </c>
      <c r="F1127" s="24" t="str">
        <f aca="false">Monthly!$A$40</f>
        <v>K&amp;L Gates IP retainer (Novak / Majewski)</v>
      </c>
      <c r="G1127" s="20" t="n">
        <f aca="false">Monthly!O$40</f>
        <v>15000</v>
      </c>
      <c r="H1127" s="24" t="str">
        <f aca="false">ScenarioName</f>
        <v>Base</v>
      </c>
    </row>
    <row r="1128" customFormat="false" ht="15" hidden="false" customHeight="false" outlineLevel="0" collapsed="false">
      <c r="A1128" s="8" t="n">
        <v>11</v>
      </c>
      <c r="B1128" s="39" t="n">
        <f aca="false">EDATE(StartDate,A1128-1)</f>
        <v>46692</v>
      </c>
      <c r="C1128" s="24" t="str">
        <f aca="false">Monthly!$B$40</f>
        <v>EnergyWave, Inc.</v>
      </c>
      <c r="D1128" s="24" t="str">
        <f aca="false">Monthly!$C$40</f>
        <v>Legal</v>
      </c>
      <c r="E1128" s="24" t="str">
        <f aca="false">Monthly!$D$40</f>
        <v>IP</v>
      </c>
      <c r="F1128" s="24" t="str">
        <f aca="false">Monthly!$A$40</f>
        <v>K&amp;L Gates IP retainer (Novak / Majewski)</v>
      </c>
      <c r="G1128" s="20" t="n">
        <f aca="false">Monthly!P$40</f>
        <v>15000</v>
      </c>
      <c r="H1128" s="24" t="str">
        <f aca="false">ScenarioName</f>
        <v>Base</v>
      </c>
    </row>
    <row r="1129" customFormat="false" ht="15" hidden="false" customHeight="false" outlineLevel="0" collapsed="false">
      <c r="A1129" s="8" t="n">
        <v>12</v>
      </c>
      <c r="B1129" s="39" t="n">
        <f aca="false">EDATE(StartDate,A1129-1)</f>
        <v>46722</v>
      </c>
      <c r="C1129" s="24" t="str">
        <f aca="false">Monthly!$B$40</f>
        <v>EnergyWave, Inc.</v>
      </c>
      <c r="D1129" s="24" t="str">
        <f aca="false">Monthly!$C$40</f>
        <v>Legal</v>
      </c>
      <c r="E1129" s="24" t="str">
        <f aca="false">Monthly!$D$40</f>
        <v>IP</v>
      </c>
      <c r="F1129" s="24" t="str">
        <f aca="false">Monthly!$A$40</f>
        <v>K&amp;L Gates IP retainer (Novak / Majewski)</v>
      </c>
      <c r="G1129" s="20" t="n">
        <f aca="false">Monthly!Q$40</f>
        <v>15000</v>
      </c>
      <c r="H1129" s="24" t="str">
        <f aca="false">ScenarioName</f>
        <v>Base</v>
      </c>
    </row>
    <row r="1130" customFormat="false" ht="15" hidden="false" customHeight="false" outlineLevel="0" collapsed="false">
      <c r="A1130" s="8" t="n">
        <v>13</v>
      </c>
      <c r="B1130" s="39" t="n">
        <f aca="false">EDATE(StartDate,A1130-1)</f>
        <v>46753</v>
      </c>
      <c r="C1130" s="24" t="str">
        <f aca="false">Monthly!$B$40</f>
        <v>EnergyWave, Inc.</v>
      </c>
      <c r="D1130" s="24" t="str">
        <f aca="false">Monthly!$C$40</f>
        <v>Legal</v>
      </c>
      <c r="E1130" s="24" t="str">
        <f aca="false">Monthly!$D$40</f>
        <v>IP</v>
      </c>
      <c r="F1130" s="24" t="str">
        <f aca="false">Monthly!$A$40</f>
        <v>K&amp;L Gates IP retainer (Novak / Majewski)</v>
      </c>
      <c r="G1130" s="20" t="n">
        <f aca="false">Monthly!R$40</f>
        <v>15000</v>
      </c>
      <c r="H1130" s="24" t="str">
        <f aca="false">ScenarioName</f>
        <v>Base</v>
      </c>
    </row>
    <row r="1131" customFormat="false" ht="15" hidden="false" customHeight="false" outlineLevel="0" collapsed="false">
      <c r="A1131" s="8" t="n">
        <v>14</v>
      </c>
      <c r="B1131" s="39" t="n">
        <f aca="false">EDATE(StartDate,A1131-1)</f>
        <v>46784</v>
      </c>
      <c r="C1131" s="24" t="str">
        <f aca="false">Monthly!$B$40</f>
        <v>EnergyWave, Inc.</v>
      </c>
      <c r="D1131" s="24" t="str">
        <f aca="false">Monthly!$C$40</f>
        <v>Legal</v>
      </c>
      <c r="E1131" s="24" t="str">
        <f aca="false">Monthly!$D$40</f>
        <v>IP</v>
      </c>
      <c r="F1131" s="24" t="str">
        <f aca="false">Monthly!$A$40</f>
        <v>K&amp;L Gates IP retainer (Novak / Majewski)</v>
      </c>
      <c r="G1131" s="20" t="n">
        <f aca="false">Monthly!S$40</f>
        <v>15000</v>
      </c>
      <c r="H1131" s="24" t="str">
        <f aca="false">ScenarioName</f>
        <v>Base</v>
      </c>
    </row>
    <row r="1132" customFormat="false" ht="15" hidden="false" customHeight="false" outlineLevel="0" collapsed="false">
      <c r="A1132" s="8" t="n">
        <v>15</v>
      </c>
      <c r="B1132" s="39" t="n">
        <f aca="false">EDATE(StartDate,A1132-1)</f>
        <v>46813</v>
      </c>
      <c r="C1132" s="24" t="str">
        <f aca="false">Monthly!$B$40</f>
        <v>EnergyWave, Inc.</v>
      </c>
      <c r="D1132" s="24" t="str">
        <f aca="false">Monthly!$C$40</f>
        <v>Legal</v>
      </c>
      <c r="E1132" s="24" t="str">
        <f aca="false">Monthly!$D$40</f>
        <v>IP</v>
      </c>
      <c r="F1132" s="24" t="str">
        <f aca="false">Monthly!$A$40</f>
        <v>K&amp;L Gates IP retainer (Novak / Majewski)</v>
      </c>
      <c r="G1132" s="20" t="n">
        <f aca="false">Monthly!T$40</f>
        <v>15000</v>
      </c>
      <c r="H1132" s="24" t="str">
        <f aca="false">ScenarioName</f>
        <v>Base</v>
      </c>
    </row>
    <row r="1133" customFormat="false" ht="15" hidden="false" customHeight="false" outlineLevel="0" collapsed="false">
      <c r="A1133" s="8" t="n">
        <v>16</v>
      </c>
      <c r="B1133" s="39" t="n">
        <f aca="false">EDATE(StartDate,A1133-1)</f>
        <v>46844</v>
      </c>
      <c r="C1133" s="24" t="str">
        <f aca="false">Monthly!$B$40</f>
        <v>EnergyWave, Inc.</v>
      </c>
      <c r="D1133" s="24" t="str">
        <f aca="false">Monthly!$C$40</f>
        <v>Legal</v>
      </c>
      <c r="E1133" s="24" t="str">
        <f aca="false">Monthly!$D$40</f>
        <v>IP</v>
      </c>
      <c r="F1133" s="24" t="str">
        <f aca="false">Monthly!$A$40</f>
        <v>K&amp;L Gates IP retainer (Novak / Majewski)</v>
      </c>
      <c r="G1133" s="20" t="n">
        <f aca="false">Monthly!U$40</f>
        <v>15000</v>
      </c>
      <c r="H1133" s="24" t="str">
        <f aca="false">ScenarioName</f>
        <v>Base</v>
      </c>
    </row>
    <row r="1134" customFormat="false" ht="15" hidden="false" customHeight="false" outlineLevel="0" collapsed="false">
      <c r="A1134" s="8" t="n">
        <v>17</v>
      </c>
      <c r="B1134" s="39" t="n">
        <f aca="false">EDATE(StartDate,A1134-1)</f>
        <v>46874</v>
      </c>
      <c r="C1134" s="24" t="str">
        <f aca="false">Monthly!$B$40</f>
        <v>EnergyWave, Inc.</v>
      </c>
      <c r="D1134" s="24" t="str">
        <f aca="false">Monthly!$C$40</f>
        <v>Legal</v>
      </c>
      <c r="E1134" s="24" t="str">
        <f aca="false">Monthly!$D$40</f>
        <v>IP</v>
      </c>
      <c r="F1134" s="24" t="str">
        <f aca="false">Monthly!$A$40</f>
        <v>K&amp;L Gates IP retainer (Novak / Majewski)</v>
      </c>
      <c r="G1134" s="20" t="n">
        <f aca="false">Monthly!V$40</f>
        <v>15000</v>
      </c>
      <c r="H1134" s="24" t="str">
        <f aca="false">ScenarioName</f>
        <v>Base</v>
      </c>
    </row>
    <row r="1135" customFormat="false" ht="15" hidden="false" customHeight="false" outlineLevel="0" collapsed="false">
      <c r="A1135" s="8" t="n">
        <v>18</v>
      </c>
      <c r="B1135" s="39" t="n">
        <f aca="false">EDATE(StartDate,A1135-1)</f>
        <v>46905</v>
      </c>
      <c r="C1135" s="24" t="str">
        <f aca="false">Monthly!$B$40</f>
        <v>EnergyWave, Inc.</v>
      </c>
      <c r="D1135" s="24" t="str">
        <f aca="false">Monthly!$C$40</f>
        <v>Legal</v>
      </c>
      <c r="E1135" s="24" t="str">
        <f aca="false">Monthly!$D$40</f>
        <v>IP</v>
      </c>
      <c r="F1135" s="24" t="str">
        <f aca="false">Monthly!$A$40</f>
        <v>K&amp;L Gates IP retainer (Novak / Majewski)</v>
      </c>
      <c r="G1135" s="20" t="n">
        <f aca="false">Monthly!W$40</f>
        <v>15000</v>
      </c>
      <c r="H1135" s="24" t="str">
        <f aca="false">ScenarioName</f>
        <v>Base</v>
      </c>
    </row>
    <row r="1136" customFormat="false" ht="15" hidden="false" customHeight="false" outlineLevel="0" collapsed="false">
      <c r="A1136" s="8" t="n">
        <v>19</v>
      </c>
      <c r="B1136" s="39" t="n">
        <f aca="false">EDATE(StartDate,A1136-1)</f>
        <v>46935</v>
      </c>
      <c r="C1136" s="24" t="str">
        <f aca="false">Monthly!$B$40</f>
        <v>EnergyWave, Inc.</v>
      </c>
      <c r="D1136" s="24" t="str">
        <f aca="false">Monthly!$C$40</f>
        <v>Legal</v>
      </c>
      <c r="E1136" s="24" t="str">
        <f aca="false">Monthly!$D$40</f>
        <v>IP</v>
      </c>
      <c r="F1136" s="24" t="str">
        <f aca="false">Monthly!$A$40</f>
        <v>K&amp;L Gates IP retainer (Novak / Majewski)</v>
      </c>
      <c r="G1136" s="20" t="n">
        <f aca="false">Monthly!X$40</f>
        <v>15000</v>
      </c>
      <c r="H1136" s="24" t="str">
        <f aca="false">ScenarioName</f>
        <v>Base</v>
      </c>
    </row>
    <row r="1137" customFormat="false" ht="15" hidden="false" customHeight="false" outlineLevel="0" collapsed="false">
      <c r="A1137" s="8" t="n">
        <v>20</v>
      </c>
      <c r="B1137" s="39" t="n">
        <f aca="false">EDATE(StartDate,A1137-1)</f>
        <v>46966</v>
      </c>
      <c r="C1137" s="24" t="str">
        <f aca="false">Monthly!$B$40</f>
        <v>EnergyWave, Inc.</v>
      </c>
      <c r="D1137" s="24" t="str">
        <f aca="false">Monthly!$C$40</f>
        <v>Legal</v>
      </c>
      <c r="E1137" s="24" t="str">
        <f aca="false">Monthly!$D$40</f>
        <v>IP</v>
      </c>
      <c r="F1137" s="24" t="str">
        <f aca="false">Monthly!$A$40</f>
        <v>K&amp;L Gates IP retainer (Novak / Majewski)</v>
      </c>
      <c r="G1137" s="20" t="n">
        <f aca="false">Monthly!Y$40</f>
        <v>15000</v>
      </c>
      <c r="H1137" s="24" t="str">
        <f aca="false">ScenarioName</f>
        <v>Base</v>
      </c>
    </row>
    <row r="1138" customFormat="false" ht="15" hidden="false" customHeight="false" outlineLevel="0" collapsed="false">
      <c r="A1138" s="8" t="n">
        <v>21</v>
      </c>
      <c r="B1138" s="39" t="n">
        <f aca="false">EDATE(StartDate,A1138-1)</f>
        <v>46997</v>
      </c>
      <c r="C1138" s="24" t="str">
        <f aca="false">Monthly!$B$40</f>
        <v>EnergyWave, Inc.</v>
      </c>
      <c r="D1138" s="24" t="str">
        <f aca="false">Monthly!$C$40</f>
        <v>Legal</v>
      </c>
      <c r="E1138" s="24" t="str">
        <f aca="false">Monthly!$D$40</f>
        <v>IP</v>
      </c>
      <c r="F1138" s="24" t="str">
        <f aca="false">Monthly!$A$40</f>
        <v>K&amp;L Gates IP retainer (Novak / Majewski)</v>
      </c>
      <c r="G1138" s="20" t="n">
        <f aca="false">Monthly!Z$40</f>
        <v>15000</v>
      </c>
      <c r="H1138" s="24" t="str">
        <f aca="false">ScenarioName</f>
        <v>Base</v>
      </c>
    </row>
    <row r="1139" customFormat="false" ht="15" hidden="false" customHeight="false" outlineLevel="0" collapsed="false">
      <c r="A1139" s="8" t="n">
        <v>22</v>
      </c>
      <c r="B1139" s="39" t="n">
        <f aca="false">EDATE(StartDate,A1139-1)</f>
        <v>47027</v>
      </c>
      <c r="C1139" s="24" t="str">
        <f aca="false">Monthly!$B$40</f>
        <v>EnergyWave, Inc.</v>
      </c>
      <c r="D1139" s="24" t="str">
        <f aca="false">Monthly!$C$40</f>
        <v>Legal</v>
      </c>
      <c r="E1139" s="24" t="str">
        <f aca="false">Monthly!$D$40</f>
        <v>IP</v>
      </c>
      <c r="F1139" s="24" t="str">
        <f aca="false">Monthly!$A$40</f>
        <v>K&amp;L Gates IP retainer (Novak / Majewski)</v>
      </c>
      <c r="G1139" s="20" t="n">
        <f aca="false">Monthly!AA$40</f>
        <v>15000</v>
      </c>
      <c r="H1139" s="24" t="str">
        <f aca="false">ScenarioName</f>
        <v>Base</v>
      </c>
    </row>
    <row r="1140" customFormat="false" ht="15" hidden="false" customHeight="false" outlineLevel="0" collapsed="false">
      <c r="A1140" s="8" t="n">
        <v>23</v>
      </c>
      <c r="B1140" s="39" t="n">
        <f aca="false">EDATE(StartDate,A1140-1)</f>
        <v>47058</v>
      </c>
      <c r="C1140" s="24" t="str">
        <f aca="false">Monthly!$B$40</f>
        <v>EnergyWave, Inc.</v>
      </c>
      <c r="D1140" s="24" t="str">
        <f aca="false">Monthly!$C$40</f>
        <v>Legal</v>
      </c>
      <c r="E1140" s="24" t="str">
        <f aca="false">Monthly!$D$40</f>
        <v>IP</v>
      </c>
      <c r="F1140" s="24" t="str">
        <f aca="false">Monthly!$A$40</f>
        <v>K&amp;L Gates IP retainer (Novak / Majewski)</v>
      </c>
      <c r="G1140" s="20" t="n">
        <f aca="false">Monthly!AB$40</f>
        <v>15000</v>
      </c>
      <c r="H1140" s="24" t="str">
        <f aca="false">ScenarioName</f>
        <v>Base</v>
      </c>
    </row>
    <row r="1141" customFormat="false" ht="15" hidden="false" customHeight="false" outlineLevel="0" collapsed="false">
      <c r="A1141" s="8" t="n">
        <v>24</v>
      </c>
      <c r="B1141" s="39" t="n">
        <f aca="false">EDATE(StartDate,A1141-1)</f>
        <v>47088</v>
      </c>
      <c r="C1141" s="24" t="str">
        <f aca="false">Monthly!$B$40</f>
        <v>EnergyWave, Inc.</v>
      </c>
      <c r="D1141" s="24" t="str">
        <f aca="false">Monthly!$C$40</f>
        <v>Legal</v>
      </c>
      <c r="E1141" s="24" t="str">
        <f aca="false">Monthly!$D$40</f>
        <v>IP</v>
      </c>
      <c r="F1141" s="24" t="str">
        <f aca="false">Monthly!$A$40</f>
        <v>K&amp;L Gates IP retainer (Novak / Majewski)</v>
      </c>
      <c r="G1141" s="20" t="n">
        <f aca="false">Monthly!AC$40</f>
        <v>15000</v>
      </c>
      <c r="H1141" s="24" t="str">
        <f aca="false">ScenarioName</f>
        <v>Base</v>
      </c>
    </row>
    <row r="1142" customFormat="false" ht="15" hidden="false" customHeight="false" outlineLevel="0" collapsed="false">
      <c r="A1142" s="8" t="n">
        <v>25</v>
      </c>
      <c r="B1142" s="39" t="n">
        <f aca="false">EDATE(StartDate,A1142-1)</f>
        <v>47119</v>
      </c>
      <c r="C1142" s="24" t="str">
        <f aca="false">Monthly!$B$40</f>
        <v>EnergyWave, Inc.</v>
      </c>
      <c r="D1142" s="24" t="str">
        <f aca="false">Monthly!$C$40</f>
        <v>Legal</v>
      </c>
      <c r="E1142" s="24" t="str">
        <f aca="false">Monthly!$D$40</f>
        <v>IP</v>
      </c>
      <c r="F1142" s="24" t="str">
        <f aca="false">Monthly!$A$40</f>
        <v>K&amp;L Gates IP retainer (Novak / Majewski)</v>
      </c>
      <c r="G1142" s="20" t="n">
        <f aca="false">Monthly!AD$40</f>
        <v>15000</v>
      </c>
      <c r="H1142" s="24" t="str">
        <f aca="false">ScenarioName</f>
        <v>Base</v>
      </c>
    </row>
    <row r="1143" customFormat="false" ht="15" hidden="false" customHeight="false" outlineLevel="0" collapsed="false">
      <c r="A1143" s="8" t="n">
        <v>26</v>
      </c>
      <c r="B1143" s="39" t="n">
        <f aca="false">EDATE(StartDate,A1143-1)</f>
        <v>47150</v>
      </c>
      <c r="C1143" s="24" t="str">
        <f aca="false">Monthly!$B$40</f>
        <v>EnergyWave, Inc.</v>
      </c>
      <c r="D1143" s="24" t="str">
        <f aca="false">Monthly!$C$40</f>
        <v>Legal</v>
      </c>
      <c r="E1143" s="24" t="str">
        <f aca="false">Monthly!$D$40</f>
        <v>IP</v>
      </c>
      <c r="F1143" s="24" t="str">
        <f aca="false">Monthly!$A$40</f>
        <v>K&amp;L Gates IP retainer (Novak / Majewski)</v>
      </c>
      <c r="G1143" s="20" t="n">
        <f aca="false">Monthly!AE$40</f>
        <v>15000</v>
      </c>
      <c r="H1143" s="24" t="str">
        <f aca="false">ScenarioName</f>
        <v>Base</v>
      </c>
    </row>
    <row r="1144" customFormat="false" ht="15" hidden="false" customHeight="false" outlineLevel="0" collapsed="false">
      <c r="A1144" s="8" t="n">
        <v>27</v>
      </c>
      <c r="B1144" s="39" t="n">
        <f aca="false">EDATE(StartDate,A1144-1)</f>
        <v>47178</v>
      </c>
      <c r="C1144" s="24" t="str">
        <f aca="false">Monthly!$B$40</f>
        <v>EnergyWave, Inc.</v>
      </c>
      <c r="D1144" s="24" t="str">
        <f aca="false">Monthly!$C$40</f>
        <v>Legal</v>
      </c>
      <c r="E1144" s="24" t="str">
        <f aca="false">Monthly!$D$40</f>
        <v>IP</v>
      </c>
      <c r="F1144" s="24" t="str">
        <f aca="false">Monthly!$A$40</f>
        <v>K&amp;L Gates IP retainer (Novak / Majewski)</v>
      </c>
      <c r="G1144" s="20" t="n">
        <f aca="false">Monthly!AF$40</f>
        <v>15000</v>
      </c>
      <c r="H1144" s="24" t="str">
        <f aca="false">ScenarioName</f>
        <v>Base</v>
      </c>
    </row>
    <row r="1145" customFormat="false" ht="15" hidden="false" customHeight="false" outlineLevel="0" collapsed="false">
      <c r="A1145" s="8" t="n">
        <v>28</v>
      </c>
      <c r="B1145" s="39" t="n">
        <f aca="false">EDATE(StartDate,A1145-1)</f>
        <v>47209</v>
      </c>
      <c r="C1145" s="24" t="str">
        <f aca="false">Monthly!$B$40</f>
        <v>EnergyWave, Inc.</v>
      </c>
      <c r="D1145" s="24" t="str">
        <f aca="false">Monthly!$C$40</f>
        <v>Legal</v>
      </c>
      <c r="E1145" s="24" t="str">
        <f aca="false">Monthly!$D$40</f>
        <v>IP</v>
      </c>
      <c r="F1145" s="24" t="str">
        <f aca="false">Monthly!$A$40</f>
        <v>K&amp;L Gates IP retainer (Novak / Majewski)</v>
      </c>
      <c r="G1145" s="20" t="n">
        <f aca="false">Monthly!AG$40</f>
        <v>15000</v>
      </c>
      <c r="H1145" s="24" t="str">
        <f aca="false">ScenarioName</f>
        <v>Base</v>
      </c>
    </row>
    <row r="1146" customFormat="false" ht="15" hidden="false" customHeight="false" outlineLevel="0" collapsed="false">
      <c r="A1146" s="8" t="n">
        <v>29</v>
      </c>
      <c r="B1146" s="39" t="n">
        <f aca="false">EDATE(StartDate,A1146-1)</f>
        <v>47239</v>
      </c>
      <c r="C1146" s="24" t="str">
        <f aca="false">Monthly!$B$40</f>
        <v>EnergyWave, Inc.</v>
      </c>
      <c r="D1146" s="24" t="str">
        <f aca="false">Monthly!$C$40</f>
        <v>Legal</v>
      </c>
      <c r="E1146" s="24" t="str">
        <f aca="false">Monthly!$D$40</f>
        <v>IP</v>
      </c>
      <c r="F1146" s="24" t="str">
        <f aca="false">Monthly!$A$40</f>
        <v>K&amp;L Gates IP retainer (Novak / Majewski)</v>
      </c>
      <c r="G1146" s="20" t="n">
        <f aca="false">Monthly!AH$40</f>
        <v>15000</v>
      </c>
      <c r="H1146" s="24" t="str">
        <f aca="false">ScenarioName</f>
        <v>Base</v>
      </c>
    </row>
    <row r="1147" customFormat="false" ht="15" hidden="false" customHeight="false" outlineLevel="0" collapsed="false">
      <c r="A1147" s="8" t="n">
        <v>30</v>
      </c>
      <c r="B1147" s="39" t="n">
        <f aca="false">EDATE(StartDate,A1147-1)</f>
        <v>47270</v>
      </c>
      <c r="C1147" s="24" t="str">
        <f aca="false">Monthly!$B$40</f>
        <v>EnergyWave, Inc.</v>
      </c>
      <c r="D1147" s="24" t="str">
        <f aca="false">Monthly!$C$40</f>
        <v>Legal</v>
      </c>
      <c r="E1147" s="24" t="str">
        <f aca="false">Monthly!$D$40</f>
        <v>IP</v>
      </c>
      <c r="F1147" s="24" t="str">
        <f aca="false">Monthly!$A$40</f>
        <v>K&amp;L Gates IP retainer (Novak / Majewski)</v>
      </c>
      <c r="G1147" s="20" t="n">
        <f aca="false">Monthly!AI$40</f>
        <v>15000</v>
      </c>
      <c r="H1147" s="24" t="str">
        <f aca="false">ScenarioName</f>
        <v>Base</v>
      </c>
    </row>
    <row r="1148" customFormat="false" ht="15" hidden="false" customHeight="false" outlineLevel="0" collapsed="false">
      <c r="A1148" s="8" t="n">
        <v>31</v>
      </c>
      <c r="B1148" s="39" t="n">
        <f aca="false">EDATE(StartDate,A1148-1)</f>
        <v>47300</v>
      </c>
      <c r="C1148" s="24" t="str">
        <f aca="false">Monthly!$B$40</f>
        <v>EnergyWave, Inc.</v>
      </c>
      <c r="D1148" s="24" t="str">
        <f aca="false">Monthly!$C$40</f>
        <v>Legal</v>
      </c>
      <c r="E1148" s="24" t="str">
        <f aca="false">Monthly!$D$40</f>
        <v>IP</v>
      </c>
      <c r="F1148" s="24" t="str">
        <f aca="false">Monthly!$A$40</f>
        <v>K&amp;L Gates IP retainer (Novak / Majewski)</v>
      </c>
      <c r="G1148" s="20" t="n">
        <f aca="false">Monthly!AJ$40</f>
        <v>15000</v>
      </c>
      <c r="H1148" s="24" t="str">
        <f aca="false">ScenarioName</f>
        <v>Base</v>
      </c>
    </row>
    <row r="1149" customFormat="false" ht="15" hidden="false" customHeight="false" outlineLevel="0" collapsed="false">
      <c r="A1149" s="8" t="n">
        <v>32</v>
      </c>
      <c r="B1149" s="39" t="n">
        <f aca="false">EDATE(StartDate,A1149-1)</f>
        <v>47331</v>
      </c>
      <c r="C1149" s="24" t="str">
        <f aca="false">Monthly!$B$40</f>
        <v>EnergyWave, Inc.</v>
      </c>
      <c r="D1149" s="24" t="str">
        <f aca="false">Monthly!$C$40</f>
        <v>Legal</v>
      </c>
      <c r="E1149" s="24" t="str">
        <f aca="false">Monthly!$D$40</f>
        <v>IP</v>
      </c>
      <c r="F1149" s="24" t="str">
        <f aca="false">Monthly!$A$40</f>
        <v>K&amp;L Gates IP retainer (Novak / Majewski)</v>
      </c>
      <c r="G1149" s="20" t="n">
        <f aca="false">Monthly!AK$40</f>
        <v>15000</v>
      </c>
      <c r="H1149" s="24" t="str">
        <f aca="false">ScenarioName</f>
        <v>Base</v>
      </c>
    </row>
    <row r="1150" customFormat="false" ht="15" hidden="false" customHeight="false" outlineLevel="0" collapsed="false">
      <c r="A1150" s="8" t="n">
        <v>33</v>
      </c>
      <c r="B1150" s="39" t="n">
        <f aca="false">EDATE(StartDate,A1150-1)</f>
        <v>47362</v>
      </c>
      <c r="C1150" s="24" t="str">
        <f aca="false">Monthly!$B$40</f>
        <v>EnergyWave, Inc.</v>
      </c>
      <c r="D1150" s="24" t="str">
        <f aca="false">Monthly!$C$40</f>
        <v>Legal</v>
      </c>
      <c r="E1150" s="24" t="str">
        <f aca="false">Monthly!$D$40</f>
        <v>IP</v>
      </c>
      <c r="F1150" s="24" t="str">
        <f aca="false">Monthly!$A$40</f>
        <v>K&amp;L Gates IP retainer (Novak / Majewski)</v>
      </c>
      <c r="G1150" s="20" t="n">
        <f aca="false">Monthly!AL$40</f>
        <v>15000</v>
      </c>
      <c r="H1150" s="24" t="str">
        <f aca="false">ScenarioName</f>
        <v>Base</v>
      </c>
    </row>
    <row r="1151" customFormat="false" ht="15" hidden="false" customHeight="false" outlineLevel="0" collapsed="false">
      <c r="A1151" s="8" t="n">
        <v>34</v>
      </c>
      <c r="B1151" s="39" t="n">
        <f aca="false">EDATE(StartDate,A1151-1)</f>
        <v>47392</v>
      </c>
      <c r="C1151" s="24" t="str">
        <f aca="false">Monthly!$B$40</f>
        <v>EnergyWave, Inc.</v>
      </c>
      <c r="D1151" s="24" t="str">
        <f aca="false">Monthly!$C$40</f>
        <v>Legal</v>
      </c>
      <c r="E1151" s="24" t="str">
        <f aca="false">Monthly!$D$40</f>
        <v>IP</v>
      </c>
      <c r="F1151" s="24" t="str">
        <f aca="false">Monthly!$A$40</f>
        <v>K&amp;L Gates IP retainer (Novak / Majewski)</v>
      </c>
      <c r="G1151" s="20" t="n">
        <f aca="false">Monthly!AM$40</f>
        <v>15000</v>
      </c>
      <c r="H1151" s="24" t="str">
        <f aca="false">ScenarioName</f>
        <v>Base</v>
      </c>
    </row>
    <row r="1152" customFormat="false" ht="15" hidden="false" customHeight="false" outlineLevel="0" collapsed="false">
      <c r="A1152" s="8" t="n">
        <v>35</v>
      </c>
      <c r="B1152" s="39" t="n">
        <f aca="false">EDATE(StartDate,A1152-1)</f>
        <v>47423</v>
      </c>
      <c r="C1152" s="24" t="str">
        <f aca="false">Monthly!$B$40</f>
        <v>EnergyWave, Inc.</v>
      </c>
      <c r="D1152" s="24" t="str">
        <f aca="false">Monthly!$C$40</f>
        <v>Legal</v>
      </c>
      <c r="E1152" s="24" t="str">
        <f aca="false">Monthly!$D$40</f>
        <v>IP</v>
      </c>
      <c r="F1152" s="24" t="str">
        <f aca="false">Monthly!$A$40</f>
        <v>K&amp;L Gates IP retainer (Novak / Majewski)</v>
      </c>
      <c r="G1152" s="20" t="n">
        <f aca="false">Monthly!AN$40</f>
        <v>15000</v>
      </c>
      <c r="H1152" s="24" t="str">
        <f aca="false">ScenarioName</f>
        <v>Base</v>
      </c>
    </row>
    <row r="1153" customFormat="false" ht="15" hidden="false" customHeight="false" outlineLevel="0" collapsed="false">
      <c r="A1153" s="8" t="n">
        <v>36</v>
      </c>
      <c r="B1153" s="39" t="n">
        <f aca="false">EDATE(StartDate,A1153-1)</f>
        <v>47453</v>
      </c>
      <c r="C1153" s="24" t="str">
        <f aca="false">Monthly!$B$40</f>
        <v>EnergyWave, Inc.</v>
      </c>
      <c r="D1153" s="24" t="str">
        <f aca="false">Monthly!$C$40</f>
        <v>Legal</v>
      </c>
      <c r="E1153" s="24" t="str">
        <f aca="false">Monthly!$D$40</f>
        <v>IP</v>
      </c>
      <c r="F1153" s="24" t="str">
        <f aca="false">Monthly!$A$40</f>
        <v>K&amp;L Gates IP retainer (Novak / Majewski)</v>
      </c>
      <c r="G1153" s="20" t="n">
        <f aca="false">Monthly!AO$40</f>
        <v>15000</v>
      </c>
      <c r="H1153" s="24" t="str">
        <f aca="false">ScenarioName</f>
        <v>Base</v>
      </c>
    </row>
    <row r="1154" customFormat="false" ht="15" hidden="false" customHeight="false" outlineLevel="0" collapsed="false">
      <c r="A1154" s="8" t="n">
        <v>1</v>
      </c>
      <c r="B1154" s="39" t="n">
        <f aca="false">EDATE(StartDate,A1154-1)</f>
        <v>46388</v>
      </c>
      <c r="C1154" s="24" t="str">
        <f aca="false">Monthly!$B$41</f>
        <v>EnergyWave, Inc.</v>
      </c>
      <c r="D1154" s="24" t="str">
        <f aca="false">Monthly!$C$41</f>
        <v>Legal</v>
      </c>
      <c r="E1154" s="24" t="str">
        <f aca="false">Monthly!$D$41</f>
        <v>Corporate</v>
      </c>
      <c r="F1154" s="24" t="str">
        <f aca="false">Monthly!$A$41</f>
        <v>Entity work: 501(c)(3) determinations, intercompany / services agreements</v>
      </c>
      <c r="G1154" s="20" t="n">
        <f aca="false">Monthly!F$41</f>
        <v>60000</v>
      </c>
      <c r="H1154" s="24" t="str">
        <f aca="false">ScenarioName</f>
        <v>Base</v>
      </c>
    </row>
    <row r="1155" customFormat="false" ht="15" hidden="false" customHeight="false" outlineLevel="0" collapsed="false">
      <c r="A1155" s="8" t="n">
        <v>2</v>
      </c>
      <c r="B1155" s="39" t="n">
        <f aca="false">EDATE(StartDate,A1155-1)</f>
        <v>46419</v>
      </c>
      <c r="C1155" s="24" t="str">
        <f aca="false">Monthly!$B$41</f>
        <v>EnergyWave, Inc.</v>
      </c>
      <c r="D1155" s="24" t="str">
        <f aca="false">Monthly!$C$41</f>
        <v>Legal</v>
      </c>
      <c r="E1155" s="24" t="str">
        <f aca="false">Monthly!$D$41</f>
        <v>Corporate</v>
      </c>
      <c r="F1155" s="24" t="str">
        <f aca="false">Monthly!$A$41</f>
        <v>Entity work: 501(c)(3) determinations, intercompany / services agreements</v>
      </c>
      <c r="G1155" s="20" t="n">
        <f aca="false">Monthly!G$41</f>
        <v>0</v>
      </c>
      <c r="H1155" s="24" t="str">
        <f aca="false">ScenarioName</f>
        <v>Base</v>
      </c>
    </row>
    <row r="1156" customFormat="false" ht="15" hidden="false" customHeight="false" outlineLevel="0" collapsed="false">
      <c r="A1156" s="8" t="n">
        <v>3</v>
      </c>
      <c r="B1156" s="39" t="n">
        <f aca="false">EDATE(StartDate,A1156-1)</f>
        <v>46447</v>
      </c>
      <c r="C1156" s="24" t="str">
        <f aca="false">Monthly!$B$41</f>
        <v>EnergyWave, Inc.</v>
      </c>
      <c r="D1156" s="24" t="str">
        <f aca="false">Monthly!$C$41</f>
        <v>Legal</v>
      </c>
      <c r="E1156" s="24" t="str">
        <f aca="false">Monthly!$D$41</f>
        <v>Corporate</v>
      </c>
      <c r="F1156" s="24" t="str">
        <f aca="false">Monthly!$A$41</f>
        <v>Entity work: 501(c)(3) determinations, intercompany / services agreements</v>
      </c>
      <c r="G1156" s="20" t="n">
        <f aca="false">Monthly!H$41</f>
        <v>0</v>
      </c>
      <c r="H1156" s="24" t="str">
        <f aca="false">ScenarioName</f>
        <v>Base</v>
      </c>
    </row>
    <row r="1157" customFormat="false" ht="15" hidden="false" customHeight="false" outlineLevel="0" collapsed="false">
      <c r="A1157" s="8" t="n">
        <v>4</v>
      </c>
      <c r="B1157" s="39" t="n">
        <f aca="false">EDATE(StartDate,A1157-1)</f>
        <v>46478</v>
      </c>
      <c r="C1157" s="24" t="str">
        <f aca="false">Monthly!$B$41</f>
        <v>EnergyWave, Inc.</v>
      </c>
      <c r="D1157" s="24" t="str">
        <f aca="false">Monthly!$C$41</f>
        <v>Legal</v>
      </c>
      <c r="E1157" s="24" t="str">
        <f aca="false">Monthly!$D$41</f>
        <v>Corporate</v>
      </c>
      <c r="F1157" s="24" t="str">
        <f aca="false">Monthly!$A$41</f>
        <v>Entity work: 501(c)(3) determinations, intercompany / services agreements</v>
      </c>
      <c r="G1157" s="20" t="n">
        <f aca="false">Monthly!I$41</f>
        <v>0</v>
      </c>
      <c r="H1157" s="24" t="str">
        <f aca="false">ScenarioName</f>
        <v>Base</v>
      </c>
    </row>
    <row r="1158" customFormat="false" ht="15" hidden="false" customHeight="false" outlineLevel="0" collapsed="false">
      <c r="A1158" s="8" t="n">
        <v>5</v>
      </c>
      <c r="B1158" s="39" t="n">
        <f aca="false">EDATE(StartDate,A1158-1)</f>
        <v>46508</v>
      </c>
      <c r="C1158" s="24" t="str">
        <f aca="false">Monthly!$B$41</f>
        <v>EnergyWave, Inc.</v>
      </c>
      <c r="D1158" s="24" t="str">
        <f aca="false">Monthly!$C$41</f>
        <v>Legal</v>
      </c>
      <c r="E1158" s="24" t="str">
        <f aca="false">Monthly!$D$41</f>
        <v>Corporate</v>
      </c>
      <c r="F1158" s="24" t="str">
        <f aca="false">Monthly!$A$41</f>
        <v>Entity work: 501(c)(3) determinations, intercompany / services agreements</v>
      </c>
      <c r="G1158" s="20" t="n">
        <f aca="false">Monthly!J$41</f>
        <v>0</v>
      </c>
      <c r="H1158" s="24" t="str">
        <f aca="false">ScenarioName</f>
        <v>Base</v>
      </c>
    </row>
    <row r="1159" customFormat="false" ht="15" hidden="false" customHeight="false" outlineLevel="0" collapsed="false">
      <c r="A1159" s="8" t="n">
        <v>6</v>
      </c>
      <c r="B1159" s="39" t="n">
        <f aca="false">EDATE(StartDate,A1159-1)</f>
        <v>46539</v>
      </c>
      <c r="C1159" s="24" t="str">
        <f aca="false">Monthly!$B$41</f>
        <v>EnergyWave, Inc.</v>
      </c>
      <c r="D1159" s="24" t="str">
        <f aca="false">Monthly!$C$41</f>
        <v>Legal</v>
      </c>
      <c r="E1159" s="24" t="str">
        <f aca="false">Monthly!$D$41</f>
        <v>Corporate</v>
      </c>
      <c r="F1159" s="24" t="str">
        <f aca="false">Monthly!$A$41</f>
        <v>Entity work: 501(c)(3) determinations, intercompany / services agreements</v>
      </c>
      <c r="G1159" s="20" t="n">
        <f aca="false">Monthly!K$41</f>
        <v>0</v>
      </c>
      <c r="H1159" s="24" t="str">
        <f aca="false">ScenarioName</f>
        <v>Base</v>
      </c>
    </row>
    <row r="1160" customFormat="false" ht="15" hidden="false" customHeight="false" outlineLevel="0" collapsed="false">
      <c r="A1160" s="8" t="n">
        <v>7</v>
      </c>
      <c r="B1160" s="39" t="n">
        <f aca="false">EDATE(StartDate,A1160-1)</f>
        <v>46569</v>
      </c>
      <c r="C1160" s="24" t="str">
        <f aca="false">Monthly!$B$41</f>
        <v>EnergyWave, Inc.</v>
      </c>
      <c r="D1160" s="24" t="str">
        <f aca="false">Monthly!$C$41</f>
        <v>Legal</v>
      </c>
      <c r="E1160" s="24" t="str">
        <f aca="false">Monthly!$D$41</f>
        <v>Corporate</v>
      </c>
      <c r="F1160" s="24" t="str">
        <f aca="false">Monthly!$A$41</f>
        <v>Entity work: 501(c)(3) determinations, intercompany / services agreements</v>
      </c>
      <c r="G1160" s="20" t="n">
        <f aca="false">Monthly!L$41</f>
        <v>0</v>
      </c>
      <c r="H1160" s="24" t="str">
        <f aca="false">ScenarioName</f>
        <v>Base</v>
      </c>
    </row>
    <row r="1161" customFormat="false" ht="15" hidden="false" customHeight="false" outlineLevel="0" collapsed="false">
      <c r="A1161" s="8" t="n">
        <v>8</v>
      </c>
      <c r="B1161" s="39" t="n">
        <f aca="false">EDATE(StartDate,A1161-1)</f>
        <v>46600</v>
      </c>
      <c r="C1161" s="24" t="str">
        <f aca="false">Monthly!$B$41</f>
        <v>EnergyWave, Inc.</v>
      </c>
      <c r="D1161" s="24" t="str">
        <f aca="false">Monthly!$C$41</f>
        <v>Legal</v>
      </c>
      <c r="E1161" s="24" t="str">
        <f aca="false">Monthly!$D$41</f>
        <v>Corporate</v>
      </c>
      <c r="F1161" s="24" t="str">
        <f aca="false">Monthly!$A$41</f>
        <v>Entity work: 501(c)(3) determinations, intercompany / services agreements</v>
      </c>
      <c r="G1161" s="20" t="n">
        <f aca="false">Monthly!M$41</f>
        <v>0</v>
      </c>
      <c r="H1161" s="24" t="str">
        <f aca="false">ScenarioName</f>
        <v>Base</v>
      </c>
    </row>
    <row r="1162" customFormat="false" ht="15" hidden="false" customHeight="false" outlineLevel="0" collapsed="false">
      <c r="A1162" s="8" t="n">
        <v>9</v>
      </c>
      <c r="B1162" s="39" t="n">
        <f aca="false">EDATE(StartDate,A1162-1)</f>
        <v>46631</v>
      </c>
      <c r="C1162" s="24" t="str">
        <f aca="false">Monthly!$B$41</f>
        <v>EnergyWave, Inc.</v>
      </c>
      <c r="D1162" s="24" t="str">
        <f aca="false">Monthly!$C$41</f>
        <v>Legal</v>
      </c>
      <c r="E1162" s="24" t="str">
        <f aca="false">Monthly!$D$41</f>
        <v>Corporate</v>
      </c>
      <c r="F1162" s="24" t="str">
        <f aca="false">Monthly!$A$41</f>
        <v>Entity work: 501(c)(3) determinations, intercompany / services agreements</v>
      </c>
      <c r="G1162" s="20" t="n">
        <f aca="false">Monthly!N$41</f>
        <v>0</v>
      </c>
      <c r="H1162" s="24" t="str">
        <f aca="false">ScenarioName</f>
        <v>Base</v>
      </c>
    </row>
    <row r="1163" customFormat="false" ht="15" hidden="false" customHeight="false" outlineLevel="0" collapsed="false">
      <c r="A1163" s="8" t="n">
        <v>10</v>
      </c>
      <c r="B1163" s="39" t="n">
        <f aca="false">EDATE(StartDate,A1163-1)</f>
        <v>46661</v>
      </c>
      <c r="C1163" s="24" t="str">
        <f aca="false">Monthly!$B$41</f>
        <v>EnergyWave, Inc.</v>
      </c>
      <c r="D1163" s="24" t="str">
        <f aca="false">Monthly!$C$41</f>
        <v>Legal</v>
      </c>
      <c r="E1163" s="24" t="str">
        <f aca="false">Monthly!$D$41</f>
        <v>Corporate</v>
      </c>
      <c r="F1163" s="24" t="str">
        <f aca="false">Monthly!$A$41</f>
        <v>Entity work: 501(c)(3) determinations, intercompany / services agreements</v>
      </c>
      <c r="G1163" s="20" t="n">
        <f aca="false">Monthly!O$41</f>
        <v>0</v>
      </c>
      <c r="H1163" s="24" t="str">
        <f aca="false">ScenarioName</f>
        <v>Base</v>
      </c>
    </row>
    <row r="1164" customFormat="false" ht="15" hidden="false" customHeight="false" outlineLevel="0" collapsed="false">
      <c r="A1164" s="8" t="n">
        <v>11</v>
      </c>
      <c r="B1164" s="39" t="n">
        <f aca="false">EDATE(StartDate,A1164-1)</f>
        <v>46692</v>
      </c>
      <c r="C1164" s="24" t="str">
        <f aca="false">Monthly!$B$41</f>
        <v>EnergyWave, Inc.</v>
      </c>
      <c r="D1164" s="24" t="str">
        <f aca="false">Monthly!$C$41</f>
        <v>Legal</v>
      </c>
      <c r="E1164" s="24" t="str">
        <f aca="false">Monthly!$D$41</f>
        <v>Corporate</v>
      </c>
      <c r="F1164" s="24" t="str">
        <f aca="false">Monthly!$A$41</f>
        <v>Entity work: 501(c)(3) determinations, intercompany / services agreements</v>
      </c>
      <c r="G1164" s="20" t="n">
        <f aca="false">Monthly!P$41</f>
        <v>0</v>
      </c>
      <c r="H1164" s="24" t="str">
        <f aca="false">ScenarioName</f>
        <v>Base</v>
      </c>
    </row>
    <row r="1165" customFormat="false" ht="15" hidden="false" customHeight="false" outlineLevel="0" collapsed="false">
      <c r="A1165" s="8" t="n">
        <v>12</v>
      </c>
      <c r="B1165" s="39" t="n">
        <f aca="false">EDATE(StartDate,A1165-1)</f>
        <v>46722</v>
      </c>
      <c r="C1165" s="24" t="str">
        <f aca="false">Monthly!$B$41</f>
        <v>EnergyWave, Inc.</v>
      </c>
      <c r="D1165" s="24" t="str">
        <f aca="false">Monthly!$C$41</f>
        <v>Legal</v>
      </c>
      <c r="E1165" s="24" t="str">
        <f aca="false">Monthly!$D$41</f>
        <v>Corporate</v>
      </c>
      <c r="F1165" s="24" t="str">
        <f aca="false">Monthly!$A$41</f>
        <v>Entity work: 501(c)(3) determinations, intercompany / services agreements</v>
      </c>
      <c r="G1165" s="20" t="n">
        <f aca="false">Monthly!Q$41</f>
        <v>0</v>
      </c>
      <c r="H1165" s="24" t="str">
        <f aca="false">ScenarioName</f>
        <v>Base</v>
      </c>
    </row>
    <row r="1166" customFormat="false" ht="15" hidden="false" customHeight="false" outlineLevel="0" collapsed="false">
      <c r="A1166" s="8" t="n">
        <v>13</v>
      </c>
      <c r="B1166" s="39" t="n">
        <f aca="false">EDATE(StartDate,A1166-1)</f>
        <v>46753</v>
      </c>
      <c r="C1166" s="24" t="str">
        <f aca="false">Monthly!$B$41</f>
        <v>EnergyWave, Inc.</v>
      </c>
      <c r="D1166" s="24" t="str">
        <f aca="false">Monthly!$C$41</f>
        <v>Legal</v>
      </c>
      <c r="E1166" s="24" t="str">
        <f aca="false">Monthly!$D$41</f>
        <v>Corporate</v>
      </c>
      <c r="F1166" s="24" t="str">
        <f aca="false">Monthly!$A$41</f>
        <v>Entity work: 501(c)(3) determinations, intercompany / services agreements</v>
      </c>
      <c r="G1166" s="20" t="n">
        <f aca="false">Monthly!R$41</f>
        <v>0</v>
      </c>
      <c r="H1166" s="24" t="str">
        <f aca="false">ScenarioName</f>
        <v>Base</v>
      </c>
    </row>
    <row r="1167" customFormat="false" ht="15" hidden="false" customHeight="false" outlineLevel="0" collapsed="false">
      <c r="A1167" s="8" t="n">
        <v>14</v>
      </c>
      <c r="B1167" s="39" t="n">
        <f aca="false">EDATE(StartDate,A1167-1)</f>
        <v>46784</v>
      </c>
      <c r="C1167" s="24" t="str">
        <f aca="false">Monthly!$B$41</f>
        <v>EnergyWave, Inc.</v>
      </c>
      <c r="D1167" s="24" t="str">
        <f aca="false">Monthly!$C$41</f>
        <v>Legal</v>
      </c>
      <c r="E1167" s="24" t="str">
        <f aca="false">Monthly!$D$41</f>
        <v>Corporate</v>
      </c>
      <c r="F1167" s="24" t="str">
        <f aca="false">Monthly!$A$41</f>
        <v>Entity work: 501(c)(3) determinations, intercompany / services agreements</v>
      </c>
      <c r="G1167" s="20" t="n">
        <f aca="false">Monthly!S$41</f>
        <v>0</v>
      </c>
      <c r="H1167" s="24" t="str">
        <f aca="false">ScenarioName</f>
        <v>Base</v>
      </c>
    </row>
    <row r="1168" customFormat="false" ht="15" hidden="false" customHeight="false" outlineLevel="0" collapsed="false">
      <c r="A1168" s="8" t="n">
        <v>15</v>
      </c>
      <c r="B1168" s="39" t="n">
        <f aca="false">EDATE(StartDate,A1168-1)</f>
        <v>46813</v>
      </c>
      <c r="C1168" s="24" t="str">
        <f aca="false">Monthly!$B$41</f>
        <v>EnergyWave, Inc.</v>
      </c>
      <c r="D1168" s="24" t="str">
        <f aca="false">Monthly!$C$41</f>
        <v>Legal</v>
      </c>
      <c r="E1168" s="24" t="str">
        <f aca="false">Monthly!$D$41</f>
        <v>Corporate</v>
      </c>
      <c r="F1168" s="24" t="str">
        <f aca="false">Monthly!$A$41</f>
        <v>Entity work: 501(c)(3) determinations, intercompany / services agreements</v>
      </c>
      <c r="G1168" s="20" t="n">
        <f aca="false">Monthly!T$41</f>
        <v>0</v>
      </c>
      <c r="H1168" s="24" t="str">
        <f aca="false">ScenarioName</f>
        <v>Base</v>
      </c>
    </row>
    <row r="1169" customFormat="false" ht="15" hidden="false" customHeight="false" outlineLevel="0" collapsed="false">
      <c r="A1169" s="8" t="n">
        <v>16</v>
      </c>
      <c r="B1169" s="39" t="n">
        <f aca="false">EDATE(StartDate,A1169-1)</f>
        <v>46844</v>
      </c>
      <c r="C1169" s="24" t="str">
        <f aca="false">Monthly!$B$41</f>
        <v>EnergyWave, Inc.</v>
      </c>
      <c r="D1169" s="24" t="str">
        <f aca="false">Monthly!$C$41</f>
        <v>Legal</v>
      </c>
      <c r="E1169" s="24" t="str">
        <f aca="false">Monthly!$D$41</f>
        <v>Corporate</v>
      </c>
      <c r="F1169" s="24" t="str">
        <f aca="false">Monthly!$A$41</f>
        <v>Entity work: 501(c)(3) determinations, intercompany / services agreements</v>
      </c>
      <c r="G1169" s="20" t="n">
        <f aca="false">Monthly!U$41</f>
        <v>0</v>
      </c>
      <c r="H1169" s="24" t="str">
        <f aca="false">ScenarioName</f>
        <v>Base</v>
      </c>
    </row>
    <row r="1170" customFormat="false" ht="15" hidden="false" customHeight="false" outlineLevel="0" collapsed="false">
      <c r="A1170" s="8" t="n">
        <v>17</v>
      </c>
      <c r="B1170" s="39" t="n">
        <f aca="false">EDATE(StartDate,A1170-1)</f>
        <v>46874</v>
      </c>
      <c r="C1170" s="24" t="str">
        <f aca="false">Monthly!$B$41</f>
        <v>EnergyWave, Inc.</v>
      </c>
      <c r="D1170" s="24" t="str">
        <f aca="false">Monthly!$C$41</f>
        <v>Legal</v>
      </c>
      <c r="E1170" s="24" t="str">
        <f aca="false">Monthly!$D$41</f>
        <v>Corporate</v>
      </c>
      <c r="F1170" s="24" t="str">
        <f aca="false">Monthly!$A$41</f>
        <v>Entity work: 501(c)(3) determinations, intercompany / services agreements</v>
      </c>
      <c r="G1170" s="20" t="n">
        <f aca="false">Monthly!V$41</f>
        <v>0</v>
      </c>
      <c r="H1170" s="24" t="str">
        <f aca="false">ScenarioName</f>
        <v>Base</v>
      </c>
    </row>
    <row r="1171" customFormat="false" ht="15" hidden="false" customHeight="false" outlineLevel="0" collapsed="false">
      <c r="A1171" s="8" t="n">
        <v>18</v>
      </c>
      <c r="B1171" s="39" t="n">
        <f aca="false">EDATE(StartDate,A1171-1)</f>
        <v>46905</v>
      </c>
      <c r="C1171" s="24" t="str">
        <f aca="false">Monthly!$B$41</f>
        <v>EnergyWave, Inc.</v>
      </c>
      <c r="D1171" s="24" t="str">
        <f aca="false">Monthly!$C$41</f>
        <v>Legal</v>
      </c>
      <c r="E1171" s="24" t="str">
        <f aca="false">Monthly!$D$41</f>
        <v>Corporate</v>
      </c>
      <c r="F1171" s="24" t="str">
        <f aca="false">Monthly!$A$41</f>
        <v>Entity work: 501(c)(3) determinations, intercompany / services agreements</v>
      </c>
      <c r="G1171" s="20" t="n">
        <f aca="false">Monthly!W$41</f>
        <v>0</v>
      </c>
      <c r="H1171" s="24" t="str">
        <f aca="false">ScenarioName</f>
        <v>Base</v>
      </c>
    </row>
    <row r="1172" customFormat="false" ht="15" hidden="false" customHeight="false" outlineLevel="0" collapsed="false">
      <c r="A1172" s="8" t="n">
        <v>19</v>
      </c>
      <c r="B1172" s="39" t="n">
        <f aca="false">EDATE(StartDate,A1172-1)</f>
        <v>46935</v>
      </c>
      <c r="C1172" s="24" t="str">
        <f aca="false">Monthly!$B$41</f>
        <v>EnergyWave, Inc.</v>
      </c>
      <c r="D1172" s="24" t="str">
        <f aca="false">Monthly!$C$41</f>
        <v>Legal</v>
      </c>
      <c r="E1172" s="24" t="str">
        <f aca="false">Monthly!$D$41</f>
        <v>Corporate</v>
      </c>
      <c r="F1172" s="24" t="str">
        <f aca="false">Monthly!$A$41</f>
        <v>Entity work: 501(c)(3) determinations, intercompany / services agreements</v>
      </c>
      <c r="G1172" s="20" t="n">
        <f aca="false">Monthly!X$41</f>
        <v>0</v>
      </c>
      <c r="H1172" s="24" t="str">
        <f aca="false">ScenarioName</f>
        <v>Base</v>
      </c>
    </row>
    <row r="1173" customFormat="false" ht="15" hidden="false" customHeight="false" outlineLevel="0" collapsed="false">
      <c r="A1173" s="8" t="n">
        <v>20</v>
      </c>
      <c r="B1173" s="39" t="n">
        <f aca="false">EDATE(StartDate,A1173-1)</f>
        <v>46966</v>
      </c>
      <c r="C1173" s="24" t="str">
        <f aca="false">Monthly!$B$41</f>
        <v>EnergyWave, Inc.</v>
      </c>
      <c r="D1173" s="24" t="str">
        <f aca="false">Monthly!$C$41</f>
        <v>Legal</v>
      </c>
      <c r="E1173" s="24" t="str">
        <f aca="false">Monthly!$D$41</f>
        <v>Corporate</v>
      </c>
      <c r="F1173" s="24" t="str">
        <f aca="false">Monthly!$A$41</f>
        <v>Entity work: 501(c)(3) determinations, intercompany / services agreements</v>
      </c>
      <c r="G1173" s="20" t="n">
        <f aca="false">Monthly!Y$41</f>
        <v>0</v>
      </c>
      <c r="H1173" s="24" t="str">
        <f aca="false">ScenarioName</f>
        <v>Base</v>
      </c>
    </row>
    <row r="1174" customFormat="false" ht="15" hidden="false" customHeight="false" outlineLevel="0" collapsed="false">
      <c r="A1174" s="8" t="n">
        <v>21</v>
      </c>
      <c r="B1174" s="39" t="n">
        <f aca="false">EDATE(StartDate,A1174-1)</f>
        <v>46997</v>
      </c>
      <c r="C1174" s="24" t="str">
        <f aca="false">Monthly!$B$41</f>
        <v>EnergyWave, Inc.</v>
      </c>
      <c r="D1174" s="24" t="str">
        <f aca="false">Monthly!$C$41</f>
        <v>Legal</v>
      </c>
      <c r="E1174" s="24" t="str">
        <f aca="false">Monthly!$D$41</f>
        <v>Corporate</v>
      </c>
      <c r="F1174" s="24" t="str">
        <f aca="false">Monthly!$A$41</f>
        <v>Entity work: 501(c)(3) determinations, intercompany / services agreements</v>
      </c>
      <c r="G1174" s="20" t="n">
        <f aca="false">Monthly!Z$41</f>
        <v>0</v>
      </c>
      <c r="H1174" s="24" t="str">
        <f aca="false">ScenarioName</f>
        <v>Base</v>
      </c>
    </row>
    <row r="1175" customFormat="false" ht="15" hidden="false" customHeight="false" outlineLevel="0" collapsed="false">
      <c r="A1175" s="8" t="n">
        <v>22</v>
      </c>
      <c r="B1175" s="39" t="n">
        <f aca="false">EDATE(StartDate,A1175-1)</f>
        <v>47027</v>
      </c>
      <c r="C1175" s="24" t="str">
        <f aca="false">Monthly!$B$41</f>
        <v>EnergyWave, Inc.</v>
      </c>
      <c r="D1175" s="24" t="str">
        <f aca="false">Monthly!$C$41</f>
        <v>Legal</v>
      </c>
      <c r="E1175" s="24" t="str">
        <f aca="false">Monthly!$D$41</f>
        <v>Corporate</v>
      </c>
      <c r="F1175" s="24" t="str">
        <f aca="false">Monthly!$A$41</f>
        <v>Entity work: 501(c)(3) determinations, intercompany / services agreements</v>
      </c>
      <c r="G1175" s="20" t="n">
        <f aca="false">Monthly!AA$41</f>
        <v>0</v>
      </c>
      <c r="H1175" s="24" t="str">
        <f aca="false">ScenarioName</f>
        <v>Base</v>
      </c>
    </row>
    <row r="1176" customFormat="false" ht="15" hidden="false" customHeight="false" outlineLevel="0" collapsed="false">
      <c r="A1176" s="8" t="n">
        <v>23</v>
      </c>
      <c r="B1176" s="39" t="n">
        <f aca="false">EDATE(StartDate,A1176-1)</f>
        <v>47058</v>
      </c>
      <c r="C1176" s="24" t="str">
        <f aca="false">Monthly!$B$41</f>
        <v>EnergyWave, Inc.</v>
      </c>
      <c r="D1176" s="24" t="str">
        <f aca="false">Monthly!$C$41</f>
        <v>Legal</v>
      </c>
      <c r="E1176" s="24" t="str">
        <f aca="false">Monthly!$D$41</f>
        <v>Corporate</v>
      </c>
      <c r="F1176" s="24" t="str">
        <f aca="false">Monthly!$A$41</f>
        <v>Entity work: 501(c)(3) determinations, intercompany / services agreements</v>
      </c>
      <c r="G1176" s="20" t="n">
        <f aca="false">Monthly!AB$41</f>
        <v>0</v>
      </c>
      <c r="H1176" s="24" t="str">
        <f aca="false">ScenarioName</f>
        <v>Base</v>
      </c>
    </row>
    <row r="1177" customFormat="false" ht="15" hidden="false" customHeight="false" outlineLevel="0" collapsed="false">
      <c r="A1177" s="8" t="n">
        <v>24</v>
      </c>
      <c r="B1177" s="39" t="n">
        <f aca="false">EDATE(StartDate,A1177-1)</f>
        <v>47088</v>
      </c>
      <c r="C1177" s="24" t="str">
        <f aca="false">Monthly!$B$41</f>
        <v>EnergyWave, Inc.</v>
      </c>
      <c r="D1177" s="24" t="str">
        <f aca="false">Monthly!$C$41</f>
        <v>Legal</v>
      </c>
      <c r="E1177" s="24" t="str">
        <f aca="false">Monthly!$D$41</f>
        <v>Corporate</v>
      </c>
      <c r="F1177" s="24" t="str">
        <f aca="false">Monthly!$A$41</f>
        <v>Entity work: 501(c)(3) determinations, intercompany / services agreements</v>
      </c>
      <c r="G1177" s="20" t="n">
        <f aca="false">Monthly!AC$41</f>
        <v>0</v>
      </c>
      <c r="H1177" s="24" t="str">
        <f aca="false">ScenarioName</f>
        <v>Base</v>
      </c>
    </row>
    <row r="1178" customFormat="false" ht="15" hidden="false" customHeight="false" outlineLevel="0" collapsed="false">
      <c r="A1178" s="8" t="n">
        <v>25</v>
      </c>
      <c r="B1178" s="39" t="n">
        <f aca="false">EDATE(StartDate,A1178-1)</f>
        <v>47119</v>
      </c>
      <c r="C1178" s="24" t="str">
        <f aca="false">Monthly!$B$41</f>
        <v>EnergyWave, Inc.</v>
      </c>
      <c r="D1178" s="24" t="str">
        <f aca="false">Monthly!$C$41</f>
        <v>Legal</v>
      </c>
      <c r="E1178" s="24" t="str">
        <f aca="false">Monthly!$D$41</f>
        <v>Corporate</v>
      </c>
      <c r="F1178" s="24" t="str">
        <f aca="false">Monthly!$A$41</f>
        <v>Entity work: 501(c)(3) determinations, intercompany / services agreements</v>
      </c>
      <c r="G1178" s="20" t="n">
        <f aca="false">Monthly!AD$41</f>
        <v>0</v>
      </c>
      <c r="H1178" s="24" t="str">
        <f aca="false">ScenarioName</f>
        <v>Base</v>
      </c>
    </row>
    <row r="1179" customFormat="false" ht="15" hidden="false" customHeight="false" outlineLevel="0" collapsed="false">
      <c r="A1179" s="8" t="n">
        <v>26</v>
      </c>
      <c r="B1179" s="39" t="n">
        <f aca="false">EDATE(StartDate,A1179-1)</f>
        <v>47150</v>
      </c>
      <c r="C1179" s="24" t="str">
        <f aca="false">Monthly!$B$41</f>
        <v>EnergyWave, Inc.</v>
      </c>
      <c r="D1179" s="24" t="str">
        <f aca="false">Monthly!$C$41</f>
        <v>Legal</v>
      </c>
      <c r="E1179" s="24" t="str">
        <f aca="false">Monthly!$D$41</f>
        <v>Corporate</v>
      </c>
      <c r="F1179" s="24" t="str">
        <f aca="false">Monthly!$A$41</f>
        <v>Entity work: 501(c)(3) determinations, intercompany / services agreements</v>
      </c>
      <c r="G1179" s="20" t="n">
        <f aca="false">Monthly!AE$41</f>
        <v>0</v>
      </c>
      <c r="H1179" s="24" t="str">
        <f aca="false">ScenarioName</f>
        <v>Base</v>
      </c>
    </row>
    <row r="1180" customFormat="false" ht="15" hidden="false" customHeight="false" outlineLevel="0" collapsed="false">
      <c r="A1180" s="8" t="n">
        <v>27</v>
      </c>
      <c r="B1180" s="39" t="n">
        <f aca="false">EDATE(StartDate,A1180-1)</f>
        <v>47178</v>
      </c>
      <c r="C1180" s="24" t="str">
        <f aca="false">Monthly!$B$41</f>
        <v>EnergyWave, Inc.</v>
      </c>
      <c r="D1180" s="24" t="str">
        <f aca="false">Monthly!$C$41</f>
        <v>Legal</v>
      </c>
      <c r="E1180" s="24" t="str">
        <f aca="false">Monthly!$D$41</f>
        <v>Corporate</v>
      </c>
      <c r="F1180" s="24" t="str">
        <f aca="false">Monthly!$A$41</f>
        <v>Entity work: 501(c)(3) determinations, intercompany / services agreements</v>
      </c>
      <c r="G1180" s="20" t="n">
        <f aca="false">Monthly!AF$41</f>
        <v>0</v>
      </c>
      <c r="H1180" s="24" t="str">
        <f aca="false">ScenarioName</f>
        <v>Base</v>
      </c>
    </row>
    <row r="1181" customFormat="false" ht="15" hidden="false" customHeight="false" outlineLevel="0" collapsed="false">
      <c r="A1181" s="8" t="n">
        <v>28</v>
      </c>
      <c r="B1181" s="39" t="n">
        <f aca="false">EDATE(StartDate,A1181-1)</f>
        <v>47209</v>
      </c>
      <c r="C1181" s="24" t="str">
        <f aca="false">Monthly!$B$41</f>
        <v>EnergyWave, Inc.</v>
      </c>
      <c r="D1181" s="24" t="str">
        <f aca="false">Monthly!$C$41</f>
        <v>Legal</v>
      </c>
      <c r="E1181" s="24" t="str">
        <f aca="false">Monthly!$D$41</f>
        <v>Corporate</v>
      </c>
      <c r="F1181" s="24" t="str">
        <f aca="false">Monthly!$A$41</f>
        <v>Entity work: 501(c)(3) determinations, intercompany / services agreements</v>
      </c>
      <c r="G1181" s="20" t="n">
        <f aca="false">Monthly!AG$41</f>
        <v>0</v>
      </c>
      <c r="H1181" s="24" t="str">
        <f aca="false">ScenarioName</f>
        <v>Base</v>
      </c>
    </row>
    <row r="1182" customFormat="false" ht="15" hidden="false" customHeight="false" outlineLevel="0" collapsed="false">
      <c r="A1182" s="8" t="n">
        <v>29</v>
      </c>
      <c r="B1182" s="39" t="n">
        <f aca="false">EDATE(StartDate,A1182-1)</f>
        <v>47239</v>
      </c>
      <c r="C1182" s="24" t="str">
        <f aca="false">Monthly!$B$41</f>
        <v>EnergyWave, Inc.</v>
      </c>
      <c r="D1182" s="24" t="str">
        <f aca="false">Monthly!$C$41</f>
        <v>Legal</v>
      </c>
      <c r="E1182" s="24" t="str">
        <f aca="false">Monthly!$D$41</f>
        <v>Corporate</v>
      </c>
      <c r="F1182" s="24" t="str">
        <f aca="false">Monthly!$A$41</f>
        <v>Entity work: 501(c)(3) determinations, intercompany / services agreements</v>
      </c>
      <c r="G1182" s="20" t="n">
        <f aca="false">Monthly!AH$41</f>
        <v>0</v>
      </c>
      <c r="H1182" s="24" t="str">
        <f aca="false">ScenarioName</f>
        <v>Base</v>
      </c>
    </row>
    <row r="1183" customFormat="false" ht="15" hidden="false" customHeight="false" outlineLevel="0" collapsed="false">
      <c r="A1183" s="8" t="n">
        <v>30</v>
      </c>
      <c r="B1183" s="39" t="n">
        <f aca="false">EDATE(StartDate,A1183-1)</f>
        <v>47270</v>
      </c>
      <c r="C1183" s="24" t="str">
        <f aca="false">Monthly!$B$41</f>
        <v>EnergyWave, Inc.</v>
      </c>
      <c r="D1183" s="24" t="str">
        <f aca="false">Monthly!$C$41</f>
        <v>Legal</v>
      </c>
      <c r="E1183" s="24" t="str">
        <f aca="false">Monthly!$D$41</f>
        <v>Corporate</v>
      </c>
      <c r="F1183" s="24" t="str">
        <f aca="false">Monthly!$A$41</f>
        <v>Entity work: 501(c)(3) determinations, intercompany / services agreements</v>
      </c>
      <c r="G1183" s="20" t="n">
        <f aca="false">Monthly!AI$41</f>
        <v>0</v>
      </c>
      <c r="H1183" s="24" t="str">
        <f aca="false">ScenarioName</f>
        <v>Base</v>
      </c>
    </row>
    <row r="1184" customFormat="false" ht="15" hidden="false" customHeight="false" outlineLevel="0" collapsed="false">
      <c r="A1184" s="8" t="n">
        <v>31</v>
      </c>
      <c r="B1184" s="39" t="n">
        <f aca="false">EDATE(StartDate,A1184-1)</f>
        <v>47300</v>
      </c>
      <c r="C1184" s="24" t="str">
        <f aca="false">Monthly!$B$41</f>
        <v>EnergyWave, Inc.</v>
      </c>
      <c r="D1184" s="24" t="str">
        <f aca="false">Monthly!$C$41</f>
        <v>Legal</v>
      </c>
      <c r="E1184" s="24" t="str">
        <f aca="false">Monthly!$D$41</f>
        <v>Corporate</v>
      </c>
      <c r="F1184" s="24" t="str">
        <f aca="false">Monthly!$A$41</f>
        <v>Entity work: 501(c)(3) determinations, intercompany / services agreements</v>
      </c>
      <c r="G1184" s="20" t="n">
        <f aca="false">Monthly!AJ$41</f>
        <v>0</v>
      </c>
      <c r="H1184" s="24" t="str">
        <f aca="false">ScenarioName</f>
        <v>Base</v>
      </c>
    </row>
    <row r="1185" customFormat="false" ht="15" hidden="false" customHeight="false" outlineLevel="0" collapsed="false">
      <c r="A1185" s="8" t="n">
        <v>32</v>
      </c>
      <c r="B1185" s="39" t="n">
        <f aca="false">EDATE(StartDate,A1185-1)</f>
        <v>47331</v>
      </c>
      <c r="C1185" s="24" t="str">
        <f aca="false">Monthly!$B$41</f>
        <v>EnergyWave, Inc.</v>
      </c>
      <c r="D1185" s="24" t="str">
        <f aca="false">Monthly!$C$41</f>
        <v>Legal</v>
      </c>
      <c r="E1185" s="24" t="str">
        <f aca="false">Monthly!$D$41</f>
        <v>Corporate</v>
      </c>
      <c r="F1185" s="24" t="str">
        <f aca="false">Monthly!$A$41</f>
        <v>Entity work: 501(c)(3) determinations, intercompany / services agreements</v>
      </c>
      <c r="G1185" s="20" t="n">
        <f aca="false">Monthly!AK$41</f>
        <v>0</v>
      </c>
      <c r="H1185" s="24" t="str">
        <f aca="false">ScenarioName</f>
        <v>Base</v>
      </c>
    </row>
    <row r="1186" customFormat="false" ht="15" hidden="false" customHeight="false" outlineLevel="0" collapsed="false">
      <c r="A1186" s="8" t="n">
        <v>33</v>
      </c>
      <c r="B1186" s="39" t="n">
        <f aca="false">EDATE(StartDate,A1186-1)</f>
        <v>47362</v>
      </c>
      <c r="C1186" s="24" t="str">
        <f aca="false">Monthly!$B$41</f>
        <v>EnergyWave, Inc.</v>
      </c>
      <c r="D1186" s="24" t="str">
        <f aca="false">Monthly!$C$41</f>
        <v>Legal</v>
      </c>
      <c r="E1186" s="24" t="str">
        <f aca="false">Monthly!$D$41</f>
        <v>Corporate</v>
      </c>
      <c r="F1186" s="24" t="str">
        <f aca="false">Monthly!$A$41</f>
        <v>Entity work: 501(c)(3) determinations, intercompany / services agreements</v>
      </c>
      <c r="G1186" s="20" t="n">
        <f aca="false">Monthly!AL$41</f>
        <v>0</v>
      </c>
      <c r="H1186" s="24" t="str">
        <f aca="false">ScenarioName</f>
        <v>Base</v>
      </c>
    </row>
    <row r="1187" customFormat="false" ht="15" hidden="false" customHeight="false" outlineLevel="0" collapsed="false">
      <c r="A1187" s="8" t="n">
        <v>34</v>
      </c>
      <c r="B1187" s="39" t="n">
        <f aca="false">EDATE(StartDate,A1187-1)</f>
        <v>47392</v>
      </c>
      <c r="C1187" s="24" t="str">
        <f aca="false">Monthly!$B$41</f>
        <v>EnergyWave, Inc.</v>
      </c>
      <c r="D1187" s="24" t="str">
        <f aca="false">Monthly!$C$41</f>
        <v>Legal</v>
      </c>
      <c r="E1187" s="24" t="str">
        <f aca="false">Monthly!$D$41</f>
        <v>Corporate</v>
      </c>
      <c r="F1187" s="24" t="str">
        <f aca="false">Monthly!$A$41</f>
        <v>Entity work: 501(c)(3) determinations, intercompany / services agreements</v>
      </c>
      <c r="G1187" s="20" t="n">
        <f aca="false">Monthly!AM$41</f>
        <v>0</v>
      </c>
      <c r="H1187" s="24" t="str">
        <f aca="false">ScenarioName</f>
        <v>Base</v>
      </c>
    </row>
    <row r="1188" customFormat="false" ht="15" hidden="false" customHeight="false" outlineLevel="0" collapsed="false">
      <c r="A1188" s="8" t="n">
        <v>35</v>
      </c>
      <c r="B1188" s="39" t="n">
        <f aca="false">EDATE(StartDate,A1188-1)</f>
        <v>47423</v>
      </c>
      <c r="C1188" s="24" t="str">
        <f aca="false">Monthly!$B$41</f>
        <v>EnergyWave, Inc.</v>
      </c>
      <c r="D1188" s="24" t="str">
        <f aca="false">Monthly!$C$41</f>
        <v>Legal</v>
      </c>
      <c r="E1188" s="24" t="str">
        <f aca="false">Monthly!$D$41</f>
        <v>Corporate</v>
      </c>
      <c r="F1188" s="24" t="str">
        <f aca="false">Monthly!$A$41</f>
        <v>Entity work: 501(c)(3) determinations, intercompany / services agreements</v>
      </c>
      <c r="G1188" s="20" t="n">
        <f aca="false">Monthly!AN$41</f>
        <v>0</v>
      </c>
      <c r="H1188" s="24" t="str">
        <f aca="false">ScenarioName</f>
        <v>Base</v>
      </c>
    </row>
    <row r="1189" customFormat="false" ht="15" hidden="false" customHeight="false" outlineLevel="0" collapsed="false">
      <c r="A1189" s="8" t="n">
        <v>36</v>
      </c>
      <c r="B1189" s="39" t="n">
        <f aca="false">EDATE(StartDate,A1189-1)</f>
        <v>47453</v>
      </c>
      <c r="C1189" s="24" t="str">
        <f aca="false">Monthly!$B$41</f>
        <v>EnergyWave, Inc.</v>
      </c>
      <c r="D1189" s="24" t="str">
        <f aca="false">Monthly!$C$41</f>
        <v>Legal</v>
      </c>
      <c r="E1189" s="24" t="str">
        <f aca="false">Monthly!$D$41</f>
        <v>Corporate</v>
      </c>
      <c r="F1189" s="24" t="str">
        <f aca="false">Monthly!$A$41</f>
        <v>Entity work: 501(c)(3) determinations, intercompany / services agreements</v>
      </c>
      <c r="G1189" s="20" t="n">
        <f aca="false">Monthly!AO$41</f>
        <v>0</v>
      </c>
      <c r="H1189" s="24" t="str">
        <f aca="false">ScenarioName</f>
        <v>Base</v>
      </c>
    </row>
    <row r="1190" customFormat="false" ht="15" hidden="false" customHeight="false" outlineLevel="0" collapsed="false">
      <c r="A1190" s="8" t="n">
        <v>1</v>
      </c>
      <c r="B1190" s="39" t="n">
        <f aca="false">EDATE(StartDate,A1190-1)</f>
        <v>46388</v>
      </c>
      <c r="C1190" s="24" t="str">
        <f aca="false">Monthly!$B$42</f>
        <v>EnergyWave, Inc.</v>
      </c>
      <c r="D1190" s="24" t="str">
        <f aca="false">Monthly!$C$42</f>
        <v>Legal</v>
      </c>
      <c r="E1190" s="24" t="str">
        <f aca="false">Monthly!$D$42</f>
        <v>Securities</v>
      </c>
      <c r="F1190" s="24" t="str">
        <f aca="false">Monthly!$A$42</f>
        <v>Securities counsel (raise docs, Wyoming pooling LLC, SAFE conversion)</v>
      </c>
      <c r="G1190" s="20" t="n">
        <f aca="false">Monthly!F$42</f>
        <v>75000</v>
      </c>
      <c r="H1190" s="24" t="str">
        <f aca="false">ScenarioName</f>
        <v>Base</v>
      </c>
    </row>
    <row r="1191" customFormat="false" ht="15" hidden="false" customHeight="false" outlineLevel="0" collapsed="false">
      <c r="A1191" s="8" t="n">
        <v>2</v>
      </c>
      <c r="B1191" s="39" t="n">
        <f aca="false">EDATE(StartDate,A1191-1)</f>
        <v>46419</v>
      </c>
      <c r="C1191" s="24" t="str">
        <f aca="false">Monthly!$B$42</f>
        <v>EnergyWave, Inc.</v>
      </c>
      <c r="D1191" s="24" t="str">
        <f aca="false">Monthly!$C$42</f>
        <v>Legal</v>
      </c>
      <c r="E1191" s="24" t="str">
        <f aca="false">Monthly!$D$42</f>
        <v>Securities</v>
      </c>
      <c r="F1191" s="24" t="str">
        <f aca="false">Monthly!$A$42</f>
        <v>Securities counsel (raise docs, Wyoming pooling LLC, SAFE conversion)</v>
      </c>
      <c r="G1191" s="20" t="n">
        <f aca="false">Monthly!G$42</f>
        <v>0</v>
      </c>
      <c r="H1191" s="24" t="str">
        <f aca="false">ScenarioName</f>
        <v>Base</v>
      </c>
    </row>
    <row r="1192" customFormat="false" ht="15" hidden="false" customHeight="false" outlineLevel="0" collapsed="false">
      <c r="A1192" s="8" t="n">
        <v>3</v>
      </c>
      <c r="B1192" s="39" t="n">
        <f aca="false">EDATE(StartDate,A1192-1)</f>
        <v>46447</v>
      </c>
      <c r="C1192" s="24" t="str">
        <f aca="false">Monthly!$B$42</f>
        <v>EnergyWave, Inc.</v>
      </c>
      <c r="D1192" s="24" t="str">
        <f aca="false">Monthly!$C$42</f>
        <v>Legal</v>
      </c>
      <c r="E1192" s="24" t="str">
        <f aca="false">Monthly!$D$42</f>
        <v>Securities</v>
      </c>
      <c r="F1192" s="24" t="str">
        <f aca="false">Monthly!$A$42</f>
        <v>Securities counsel (raise docs, Wyoming pooling LLC, SAFE conversion)</v>
      </c>
      <c r="G1192" s="20" t="n">
        <f aca="false">Monthly!H$42</f>
        <v>0</v>
      </c>
      <c r="H1192" s="24" t="str">
        <f aca="false">ScenarioName</f>
        <v>Base</v>
      </c>
    </row>
    <row r="1193" customFormat="false" ht="15" hidden="false" customHeight="false" outlineLevel="0" collapsed="false">
      <c r="A1193" s="8" t="n">
        <v>4</v>
      </c>
      <c r="B1193" s="39" t="n">
        <f aca="false">EDATE(StartDate,A1193-1)</f>
        <v>46478</v>
      </c>
      <c r="C1193" s="24" t="str">
        <f aca="false">Monthly!$B$42</f>
        <v>EnergyWave, Inc.</v>
      </c>
      <c r="D1193" s="24" t="str">
        <f aca="false">Monthly!$C$42</f>
        <v>Legal</v>
      </c>
      <c r="E1193" s="24" t="str">
        <f aca="false">Monthly!$D$42</f>
        <v>Securities</v>
      </c>
      <c r="F1193" s="24" t="str">
        <f aca="false">Monthly!$A$42</f>
        <v>Securities counsel (raise docs, Wyoming pooling LLC, SAFE conversion)</v>
      </c>
      <c r="G1193" s="20" t="n">
        <f aca="false">Monthly!I$42</f>
        <v>0</v>
      </c>
      <c r="H1193" s="24" t="str">
        <f aca="false">ScenarioName</f>
        <v>Base</v>
      </c>
    </row>
    <row r="1194" customFormat="false" ht="15" hidden="false" customHeight="false" outlineLevel="0" collapsed="false">
      <c r="A1194" s="8" t="n">
        <v>5</v>
      </c>
      <c r="B1194" s="39" t="n">
        <f aca="false">EDATE(StartDate,A1194-1)</f>
        <v>46508</v>
      </c>
      <c r="C1194" s="24" t="str">
        <f aca="false">Monthly!$B$42</f>
        <v>EnergyWave, Inc.</v>
      </c>
      <c r="D1194" s="24" t="str">
        <f aca="false">Monthly!$C$42</f>
        <v>Legal</v>
      </c>
      <c r="E1194" s="24" t="str">
        <f aca="false">Monthly!$D$42</f>
        <v>Securities</v>
      </c>
      <c r="F1194" s="24" t="str">
        <f aca="false">Monthly!$A$42</f>
        <v>Securities counsel (raise docs, Wyoming pooling LLC, SAFE conversion)</v>
      </c>
      <c r="G1194" s="20" t="n">
        <f aca="false">Monthly!J$42</f>
        <v>0</v>
      </c>
      <c r="H1194" s="24" t="str">
        <f aca="false">ScenarioName</f>
        <v>Base</v>
      </c>
    </row>
    <row r="1195" customFormat="false" ht="15" hidden="false" customHeight="false" outlineLevel="0" collapsed="false">
      <c r="A1195" s="8" t="n">
        <v>6</v>
      </c>
      <c r="B1195" s="39" t="n">
        <f aca="false">EDATE(StartDate,A1195-1)</f>
        <v>46539</v>
      </c>
      <c r="C1195" s="24" t="str">
        <f aca="false">Monthly!$B$42</f>
        <v>EnergyWave, Inc.</v>
      </c>
      <c r="D1195" s="24" t="str">
        <f aca="false">Monthly!$C$42</f>
        <v>Legal</v>
      </c>
      <c r="E1195" s="24" t="str">
        <f aca="false">Monthly!$D$42</f>
        <v>Securities</v>
      </c>
      <c r="F1195" s="24" t="str">
        <f aca="false">Monthly!$A$42</f>
        <v>Securities counsel (raise docs, Wyoming pooling LLC, SAFE conversion)</v>
      </c>
      <c r="G1195" s="20" t="n">
        <f aca="false">Monthly!K$42</f>
        <v>0</v>
      </c>
      <c r="H1195" s="24" t="str">
        <f aca="false">ScenarioName</f>
        <v>Base</v>
      </c>
    </row>
    <row r="1196" customFormat="false" ht="15" hidden="false" customHeight="false" outlineLevel="0" collapsed="false">
      <c r="A1196" s="8" t="n">
        <v>7</v>
      </c>
      <c r="B1196" s="39" t="n">
        <f aca="false">EDATE(StartDate,A1196-1)</f>
        <v>46569</v>
      </c>
      <c r="C1196" s="24" t="str">
        <f aca="false">Monthly!$B$42</f>
        <v>EnergyWave, Inc.</v>
      </c>
      <c r="D1196" s="24" t="str">
        <f aca="false">Monthly!$C$42</f>
        <v>Legal</v>
      </c>
      <c r="E1196" s="24" t="str">
        <f aca="false">Monthly!$D$42</f>
        <v>Securities</v>
      </c>
      <c r="F1196" s="24" t="str">
        <f aca="false">Monthly!$A$42</f>
        <v>Securities counsel (raise docs, Wyoming pooling LLC, SAFE conversion)</v>
      </c>
      <c r="G1196" s="20" t="n">
        <f aca="false">Monthly!L$42</f>
        <v>0</v>
      </c>
      <c r="H1196" s="24" t="str">
        <f aca="false">ScenarioName</f>
        <v>Base</v>
      </c>
    </row>
    <row r="1197" customFormat="false" ht="15" hidden="false" customHeight="false" outlineLevel="0" collapsed="false">
      <c r="A1197" s="8" t="n">
        <v>8</v>
      </c>
      <c r="B1197" s="39" t="n">
        <f aca="false">EDATE(StartDate,A1197-1)</f>
        <v>46600</v>
      </c>
      <c r="C1197" s="24" t="str">
        <f aca="false">Monthly!$B$42</f>
        <v>EnergyWave, Inc.</v>
      </c>
      <c r="D1197" s="24" t="str">
        <f aca="false">Monthly!$C$42</f>
        <v>Legal</v>
      </c>
      <c r="E1197" s="24" t="str">
        <f aca="false">Monthly!$D$42</f>
        <v>Securities</v>
      </c>
      <c r="F1197" s="24" t="str">
        <f aca="false">Monthly!$A$42</f>
        <v>Securities counsel (raise docs, Wyoming pooling LLC, SAFE conversion)</v>
      </c>
      <c r="G1197" s="20" t="n">
        <f aca="false">Monthly!M$42</f>
        <v>0</v>
      </c>
      <c r="H1197" s="24" t="str">
        <f aca="false">ScenarioName</f>
        <v>Base</v>
      </c>
    </row>
    <row r="1198" customFormat="false" ht="15" hidden="false" customHeight="false" outlineLevel="0" collapsed="false">
      <c r="A1198" s="8" t="n">
        <v>9</v>
      </c>
      <c r="B1198" s="39" t="n">
        <f aca="false">EDATE(StartDate,A1198-1)</f>
        <v>46631</v>
      </c>
      <c r="C1198" s="24" t="str">
        <f aca="false">Monthly!$B$42</f>
        <v>EnergyWave, Inc.</v>
      </c>
      <c r="D1198" s="24" t="str">
        <f aca="false">Monthly!$C$42</f>
        <v>Legal</v>
      </c>
      <c r="E1198" s="24" t="str">
        <f aca="false">Monthly!$D$42</f>
        <v>Securities</v>
      </c>
      <c r="F1198" s="24" t="str">
        <f aca="false">Monthly!$A$42</f>
        <v>Securities counsel (raise docs, Wyoming pooling LLC, SAFE conversion)</v>
      </c>
      <c r="G1198" s="20" t="n">
        <f aca="false">Monthly!N$42</f>
        <v>0</v>
      </c>
      <c r="H1198" s="24" t="str">
        <f aca="false">ScenarioName</f>
        <v>Base</v>
      </c>
    </row>
    <row r="1199" customFormat="false" ht="15" hidden="false" customHeight="false" outlineLevel="0" collapsed="false">
      <c r="A1199" s="8" t="n">
        <v>10</v>
      </c>
      <c r="B1199" s="39" t="n">
        <f aca="false">EDATE(StartDate,A1199-1)</f>
        <v>46661</v>
      </c>
      <c r="C1199" s="24" t="str">
        <f aca="false">Monthly!$B$42</f>
        <v>EnergyWave, Inc.</v>
      </c>
      <c r="D1199" s="24" t="str">
        <f aca="false">Monthly!$C$42</f>
        <v>Legal</v>
      </c>
      <c r="E1199" s="24" t="str">
        <f aca="false">Monthly!$D$42</f>
        <v>Securities</v>
      </c>
      <c r="F1199" s="24" t="str">
        <f aca="false">Monthly!$A$42</f>
        <v>Securities counsel (raise docs, Wyoming pooling LLC, SAFE conversion)</v>
      </c>
      <c r="G1199" s="20" t="n">
        <f aca="false">Monthly!O$42</f>
        <v>0</v>
      </c>
      <c r="H1199" s="24" t="str">
        <f aca="false">ScenarioName</f>
        <v>Base</v>
      </c>
    </row>
    <row r="1200" customFormat="false" ht="15" hidden="false" customHeight="false" outlineLevel="0" collapsed="false">
      <c r="A1200" s="8" t="n">
        <v>11</v>
      </c>
      <c r="B1200" s="39" t="n">
        <f aca="false">EDATE(StartDate,A1200-1)</f>
        <v>46692</v>
      </c>
      <c r="C1200" s="24" t="str">
        <f aca="false">Monthly!$B$42</f>
        <v>EnergyWave, Inc.</v>
      </c>
      <c r="D1200" s="24" t="str">
        <f aca="false">Monthly!$C$42</f>
        <v>Legal</v>
      </c>
      <c r="E1200" s="24" t="str">
        <f aca="false">Monthly!$D$42</f>
        <v>Securities</v>
      </c>
      <c r="F1200" s="24" t="str">
        <f aca="false">Monthly!$A$42</f>
        <v>Securities counsel (raise docs, Wyoming pooling LLC, SAFE conversion)</v>
      </c>
      <c r="G1200" s="20" t="n">
        <f aca="false">Monthly!P$42</f>
        <v>0</v>
      </c>
      <c r="H1200" s="24" t="str">
        <f aca="false">ScenarioName</f>
        <v>Base</v>
      </c>
    </row>
    <row r="1201" customFormat="false" ht="15" hidden="false" customHeight="false" outlineLevel="0" collapsed="false">
      <c r="A1201" s="8" t="n">
        <v>12</v>
      </c>
      <c r="B1201" s="39" t="n">
        <f aca="false">EDATE(StartDate,A1201-1)</f>
        <v>46722</v>
      </c>
      <c r="C1201" s="24" t="str">
        <f aca="false">Monthly!$B$42</f>
        <v>EnergyWave, Inc.</v>
      </c>
      <c r="D1201" s="24" t="str">
        <f aca="false">Monthly!$C$42</f>
        <v>Legal</v>
      </c>
      <c r="E1201" s="24" t="str">
        <f aca="false">Monthly!$D$42</f>
        <v>Securities</v>
      </c>
      <c r="F1201" s="24" t="str">
        <f aca="false">Monthly!$A$42</f>
        <v>Securities counsel (raise docs, Wyoming pooling LLC, SAFE conversion)</v>
      </c>
      <c r="G1201" s="20" t="n">
        <f aca="false">Monthly!Q$42</f>
        <v>0</v>
      </c>
      <c r="H1201" s="24" t="str">
        <f aca="false">ScenarioName</f>
        <v>Base</v>
      </c>
    </row>
    <row r="1202" customFormat="false" ht="15" hidden="false" customHeight="false" outlineLevel="0" collapsed="false">
      <c r="A1202" s="8" t="n">
        <v>13</v>
      </c>
      <c r="B1202" s="39" t="n">
        <f aca="false">EDATE(StartDate,A1202-1)</f>
        <v>46753</v>
      </c>
      <c r="C1202" s="24" t="str">
        <f aca="false">Monthly!$B$42</f>
        <v>EnergyWave, Inc.</v>
      </c>
      <c r="D1202" s="24" t="str">
        <f aca="false">Monthly!$C$42</f>
        <v>Legal</v>
      </c>
      <c r="E1202" s="24" t="str">
        <f aca="false">Monthly!$D$42</f>
        <v>Securities</v>
      </c>
      <c r="F1202" s="24" t="str">
        <f aca="false">Monthly!$A$42</f>
        <v>Securities counsel (raise docs, Wyoming pooling LLC, SAFE conversion)</v>
      </c>
      <c r="G1202" s="20" t="n">
        <f aca="false">Monthly!R$42</f>
        <v>0</v>
      </c>
      <c r="H1202" s="24" t="str">
        <f aca="false">ScenarioName</f>
        <v>Base</v>
      </c>
    </row>
    <row r="1203" customFormat="false" ht="15" hidden="false" customHeight="false" outlineLevel="0" collapsed="false">
      <c r="A1203" s="8" t="n">
        <v>14</v>
      </c>
      <c r="B1203" s="39" t="n">
        <f aca="false">EDATE(StartDate,A1203-1)</f>
        <v>46784</v>
      </c>
      <c r="C1203" s="24" t="str">
        <f aca="false">Monthly!$B$42</f>
        <v>EnergyWave, Inc.</v>
      </c>
      <c r="D1203" s="24" t="str">
        <f aca="false">Monthly!$C$42</f>
        <v>Legal</v>
      </c>
      <c r="E1203" s="24" t="str">
        <f aca="false">Monthly!$D$42</f>
        <v>Securities</v>
      </c>
      <c r="F1203" s="24" t="str">
        <f aca="false">Monthly!$A$42</f>
        <v>Securities counsel (raise docs, Wyoming pooling LLC, SAFE conversion)</v>
      </c>
      <c r="G1203" s="20" t="n">
        <f aca="false">Monthly!S$42</f>
        <v>0</v>
      </c>
      <c r="H1203" s="24" t="str">
        <f aca="false">ScenarioName</f>
        <v>Base</v>
      </c>
    </row>
    <row r="1204" customFormat="false" ht="15" hidden="false" customHeight="false" outlineLevel="0" collapsed="false">
      <c r="A1204" s="8" t="n">
        <v>15</v>
      </c>
      <c r="B1204" s="39" t="n">
        <f aca="false">EDATE(StartDate,A1204-1)</f>
        <v>46813</v>
      </c>
      <c r="C1204" s="24" t="str">
        <f aca="false">Monthly!$B$42</f>
        <v>EnergyWave, Inc.</v>
      </c>
      <c r="D1204" s="24" t="str">
        <f aca="false">Monthly!$C$42</f>
        <v>Legal</v>
      </c>
      <c r="E1204" s="24" t="str">
        <f aca="false">Monthly!$D$42</f>
        <v>Securities</v>
      </c>
      <c r="F1204" s="24" t="str">
        <f aca="false">Monthly!$A$42</f>
        <v>Securities counsel (raise docs, Wyoming pooling LLC, SAFE conversion)</v>
      </c>
      <c r="G1204" s="20" t="n">
        <f aca="false">Monthly!T$42</f>
        <v>0</v>
      </c>
      <c r="H1204" s="24" t="str">
        <f aca="false">ScenarioName</f>
        <v>Base</v>
      </c>
    </row>
    <row r="1205" customFormat="false" ht="15" hidden="false" customHeight="false" outlineLevel="0" collapsed="false">
      <c r="A1205" s="8" t="n">
        <v>16</v>
      </c>
      <c r="B1205" s="39" t="n">
        <f aca="false">EDATE(StartDate,A1205-1)</f>
        <v>46844</v>
      </c>
      <c r="C1205" s="24" t="str">
        <f aca="false">Monthly!$B$42</f>
        <v>EnergyWave, Inc.</v>
      </c>
      <c r="D1205" s="24" t="str">
        <f aca="false">Monthly!$C$42</f>
        <v>Legal</v>
      </c>
      <c r="E1205" s="24" t="str">
        <f aca="false">Monthly!$D$42</f>
        <v>Securities</v>
      </c>
      <c r="F1205" s="24" t="str">
        <f aca="false">Monthly!$A$42</f>
        <v>Securities counsel (raise docs, Wyoming pooling LLC, SAFE conversion)</v>
      </c>
      <c r="G1205" s="20" t="n">
        <f aca="false">Monthly!U$42</f>
        <v>0</v>
      </c>
      <c r="H1205" s="24" t="str">
        <f aca="false">ScenarioName</f>
        <v>Base</v>
      </c>
    </row>
    <row r="1206" customFormat="false" ht="15" hidden="false" customHeight="false" outlineLevel="0" collapsed="false">
      <c r="A1206" s="8" t="n">
        <v>17</v>
      </c>
      <c r="B1206" s="39" t="n">
        <f aca="false">EDATE(StartDate,A1206-1)</f>
        <v>46874</v>
      </c>
      <c r="C1206" s="24" t="str">
        <f aca="false">Monthly!$B$42</f>
        <v>EnergyWave, Inc.</v>
      </c>
      <c r="D1206" s="24" t="str">
        <f aca="false">Monthly!$C$42</f>
        <v>Legal</v>
      </c>
      <c r="E1206" s="24" t="str">
        <f aca="false">Monthly!$D$42</f>
        <v>Securities</v>
      </c>
      <c r="F1206" s="24" t="str">
        <f aca="false">Monthly!$A$42</f>
        <v>Securities counsel (raise docs, Wyoming pooling LLC, SAFE conversion)</v>
      </c>
      <c r="G1206" s="20" t="n">
        <f aca="false">Monthly!V$42</f>
        <v>0</v>
      </c>
      <c r="H1206" s="24" t="str">
        <f aca="false">ScenarioName</f>
        <v>Base</v>
      </c>
    </row>
    <row r="1207" customFormat="false" ht="15" hidden="false" customHeight="false" outlineLevel="0" collapsed="false">
      <c r="A1207" s="8" t="n">
        <v>18</v>
      </c>
      <c r="B1207" s="39" t="n">
        <f aca="false">EDATE(StartDate,A1207-1)</f>
        <v>46905</v>
      </c>
      <c r="C1207" s="24" t="str">
        <f aca="false">Monthly!$B$42</f>
        <v>EnergyWave, Inc.</v>
      </c>
      <c r="D1207" s="24" t="str">
        <f aca="false">Monthly!$C$42</f>
        <v>Legal</v>
      </c>
      <c r="E1207" s="24" t="str">
        <f aca="false">Monthly!$D$42</f>
        <v>Securities</v>
      </c>
      <c r="F1207" s="24" t="str">
        <f aca="false">Monthly!$A$42</f>
        <v>Securities counsel (raise docs, Wyoming pooling LLC, SAFE conversion)</v>
      </c>
      <c r="G1207" s="20" t="n">
        <f aca="false">Monthly!W$42</f>
        <v>0</v>
      </c>
      <c r="H1207" s="24" t="str">
        <f aca="false">ScenarioName</f>
        <v>Base</v>
      </c>
    </row>
    <row r="1208" customFormat="false" ht="15" hidden="false" customHeight="false" outlineLevel="0" collapsed="false">
      <c r="A1208" s="8" t="n">
        <v>19</v>
      </c>
      <c r="B1208" s="39" t="n">
        <f aca="false">EDATE(StartDate,A1208-1)</f>
        <v>46935</v>
      </c>
      <c r="C1208" s="24" t="str">
        <f aca="false">Monthly!$B$42</f>
        <v>EnergyWave, Inc.</v>
      </c>
      <c r="D1208" s="24" t="str">
        <f aca="false">Monthly!$C$42</f>
        <v>Legal</v>
      </c>
      <c r="E1208" s="24" t="str">
        <f aca="false">Monthly!$D$42</f>
        <v>Securities</v>
      </c>
      <c r="F1208" s="24" t="str">
        <f aca="false">Monthly!$A$42</f>
        <v>Securities counsel (raise docs, Wyoming pooling LLC, SAFE conversion)</v>
      </c>
      <c r="G1208" s="20" t="n">
        <f aca="false">Monthly!X$42</f>
        <v>0</v>
      </c>
      <c r="H1208" s="24" t="str">
        <f aca="false">ScenarioName</f>
        <v>Base</v>
      </c>
    </row>
    <row r="1209" customFormat="false" ht="15" hidden="false" customHeight="false" outlineLevel="0" collapsed="false">
      <c r="A1209" s="8" t="n">
        <v>20</v>
      </c>
      <c r="B1209" s="39" t="n">
        <f aca="false">EDATE(StartDate,A1209-1)</f>
        <v>46966</v>
      </c>
      <c r="C1209" s="24" t="str">
        <f aca="false">Monthly!$B$42</f>
        <v>EnergyWave, Inc.</v>
      </c>
      <c r="D1209" s="24" t="str">
        <f aca="false">Monthly!$C$42</f>
        <v>Legal</v>
      </c>
      <c r="E1209" s="24" t="str">
        <f aca="false">Monthly!$D$42</f>
        <v>Securities</v>
      </c>
      <c r="F1209" s="24" t="str">
        <f aca="false">Monthly!$A$42</f>
        <v>Securities counsel (raise docs, Wyoming pooling LLC, SAFE conversion)</v>
      </c>
      <c r="G1209" s="20" t="n">
        <f aca="false">Monthly!Y$42</f>
        <v>0</v>
      </c>
      <c r="H1209" s="24" t="str">
        <f aca="false">ScenarioName</f>
        <v>Base</v>
      </c>
    </row>
    <row r="1210" customFormat="false" ht="15" hidden="false" customHeight="false" outlineLevel="0" collapsed="false">
      <c r="A1210" s="8" t="n">
        <v>21</v>
      </c>
      <c r="B1210" s="39" t="n">
        <f aca="false">EDATE(StartDate,A1210-1)</f>
        <v>46997</v>
      </c>
      <c r="C1210" s="24" t="str">
        <f aca="false">Monthly!$B$42</f>
        <v>EnergyWave, Inc.</v>
      </c>
      <c r="D1210" s="24" t="str">
        <f aca="false">Monthly!$C$42</f>
        <v>Legal</v>
      </c>
      <c r="E1210" s="24" t="str">
        <f aca="false">Monthly!$D$42</f>
        <v>Securities</v>
      </c>
      <c r="F1210" s="24" t="str">
        <f aca="false">Monthly!$A$42</f>
        <v>Securities counsel (raise docs, Wyoming pooling LLC, SAFE conversion)</v>
      </c>
      <c r="G1210" s="20" t="n">
        <f aca="false">Monthly!Z$42</f>
        <v>0</v>
      </c>
      <c r="H1210" s="24" t="str">
        <f aca="false">ScenarioName</f>
        <v>Base</v>
      </c>
    </row>
    <row r="1211" customFormat="false" ht="15" hidden="false" customHeight="false" outlineLevel="0" collapsed="false">
      <c r="A1211" s="8" t="n">
        <v>22</v>
      </c>
      <c r="B1211" s="39" t="n">
        <f aca="false">EDATE(StartDate,A1211-1)</f>
        <v>47027</v>
      </c>
      <c r="C1211" s="24" t="str">
        <f aca="false">Monthly!$B$42</f>
        <v>EnergyWave, Inc.</v>
      </c>
      <c r="D1211" s="24" t="str">
        <f aca="false">Monthly!$C$42</f>
        <v>Legal</v>
      </c>
      <c r="E1211" s="24" t="str">
        <f aca="false">Monthly!$D$42</f>
        <v>Securities</v>
      </c>
      <c r="F1211" s="24" t="str">
        <f aca="false">Monthly!$A$42</f>
        <v>Securities counsel (raise docs, Wyoming pooling LLC, SAFE conversion)</v>
      </c>
      <c r="G1211" s="20" t="n">
        <f aca="false">Monthly!AA$42</f>
        <v>0</v>
      </c>
      <c r="H1211" s="24" t="str">
        <f aca="false">ScenarioName</f>
        <v>Base</v>
      </c>
    </row>
    <row r="1212" customFormat="false" ht="15" hidden="false" customHeight="false" outlineLevel="0" collapsed="false">
      <c r="A1212" s="8" t="n">
        <v>23</v>
      </c>
      <c r="B1212" s="39" t="n">
        <f aca="false">EDATE(StartDate,A1212-1)</f>
        <v>47058</v>
      </c>
      <c r="C1212" s="24" t="str">
        <f aca="false">Monthly!$B$42</f>
        <v>EnergyWave, Inc.</v>
      </c>
      <c r="D1212" s="24" t="str">
        <f aca="false">Monthly!$C$42</f>
        <v>Legal</v>
      </c>
      <c r="E1212" s="24" t="str">
        <f aca="false">Monthly!$D$42</f>
        <v>Securities</v>
      </c>
      <c r="F1212" s="24" t="str">
        <f aca="false">Monthly!$A$42</f>
        <v>Securities counsel (raise docs, Wyoming pooling LLC, SAFE conversion)</v>
      </c>
      <c r="G1212" s="20" t="n">
        <f aca="false">Monthly!AB$42</f>
        <v>0</v>
      </c>
      <c r="H1212" s="24" t="str">
        <f aca="false">ScenarioName</f>
        <v>Base</v>
      </c>
    </row>
    <row r="1213" customFormat="false" ht="15" hidden="false" customHeight="false" outlineLevel="0" collapsed="false">
      <c r="A1213" s="8" t="n">
        <v>24</v>
      </c>
      <c r="B1213" s="39" t="n">
        <f aca="false">EDATE(StartDate,A1213-1)</f>
        <v>47088</v>
      </c>
      <c r="C1213" s="24" t="str">
        <f aca="false">Monthly!$B$42</f>
        <v>EnergyWave, Inc.</v>
      </c>
      <c r="D1213" s="24" t="str">
        <f aca="false">Monthly!$C$42</f>
        <v>Legal</v>
      </c>
      <c r="E1213" s="24" t="str">
        <f aca="false">Monthly!$D$42</f>
        <v>Securities</v>
      </c>
      <c r="F1213" s="24" t="str">
        <f aca="false">Monthly!$A$42</f>
        <v>Securities counsel (raise docs, Wyoming pooling LLC, SAFE conversion)</v>
      </c>
      <c r="G1213" s="20" t="n">
        <f aca="false">Monthly!AC$42</f>
        <v>0</v>
      </c>
      <c r="H1213" s="24" t="str">
        <f aca="false">ScenarioName</f>
        <v>Base</v>
      </c>
    </row>
    <row r="1214" customFormat="false" ht="15" hidden="false" customHeight="false" outlineLevel="0" collapsed="false">
      <c r="A1214" s="8" t="n">
        <v>25</v>
      </c>
      <c r="B1214" s="39" t="n">
        <f aca="false">EDATE(StartDate,A1214-1)</f>
        <v>47119</v>
      </c>
      <c r="C1214" s="24" t="str">
        <f aca="false">Monthly!$B$42</f>
        <v>EnergyWave, Inc.</v>
      </c>
      <c r="D1214" s="24" t="str">
        <f aca="false">Monthly!$C$42</f>
        <v>Legal</v>
      </c>
      <c r="E1214" s="24" t="str">
        <f aca="false">Monthly!$D$42</f>
        <v>Securities</v>
      </c>
      <c r="F1214" s="24" t="str">
        <f aca="false">Monthly!$A$42</f>
        <v>Securities counsel (raise docs, Wyoming pooling LLC, SAFE conversion)</v>
      </c>
      <c r="G1214" s="20" t="n">
        <f aca="false">Monthly!AD$42</f>
        <v>0</v>
      </c>
      <c r="H1214" s="24" t="str">
        <f aca="false">ScenarioName</f>
        <v>Base</v>
      </c>
    </row>
    <row r="1215" customFormat="false" ht="15" hidden="false" customHeight="false" outlineLevel="0" collapsed="false">
      <c r="A1215" s="8" t="n">
        <v>26</v>
      </c>
      <c r="B1215" s="39" t="n">
        <f aca="false">EDATE(StartDate,A1215-1)</f>
        <v>47150</v>
      </c>
      <c r="C1215" s="24" t="str">
        <f aca="false">Monthly!$B$42</f>
        <v>EnergyWave, Inc.</v>
      </c>
      <c r="D1215" s="24" t="str">
        <f aca="false">Monthly!$C$42</f>
        <v>Legal</v>
      </c>
      <c r="E1215" s="24" t="str">
        <f aca="false">Monthly!$D$42</f>
        <v>Securities</v>
      </c>
      <c r="F1215" s="24" t="str">
        <f aca="false">Monthly!$A$42</f>
        <v>Securities counsel (raise docs, Wyoming pooling LLC, SAFE conversion)</v>
      </c>
      <c r="G1215" s="20" t="n">
        <f aca="false">Monthly!AE$42</f>
        <v>0</v>
      </c>
      <c r="H1215" s="24" t="str">
        <f aca="false">ScenarioName</f>
        <v>Base</v>
      </c>
    </row>
    <row r="1216" customFormat="false" ht="15" hidden="false" customHeight="false" outlineLevel="0" collapsed="false">
      <c r="A1216" s="8" t="n">
        <v>27</v>
      </c>
      <c r="B1216" s="39" t="n">
        <f aca="false">EDATE(StartDate,A1216-1)</f>
        <v>47178</v>
      </c>
      <c r="C1216" s="24" t="str">
        <f aca="false">Monthly!$B$42</f>
        <v>EnergyWave, Inc.</v>
      </c>
      <c r="D1216" s="24" t="str">
        <f aca="false">Monthly!$C$42</f>
        <v>Legal</v>
      </c>
      <c r="E1216" s="24" t="str">
        <f aca="false">Monthly!$D$42</f>
        <v>Securities</v>
      </c>
      <c r="F1216" s="24" t="str">
        <f aca="false">Monthly!$A$42</f>
        <v>Securities counsel (raise docs, Wyoming pooling LLC, SAFE conversion)</v>
      </c>
      <c r="G1216" s="20" t="n">
        <f aca="false">Monthly!AF$42</f>
        <v>0</v>
      </c>
      <c r="H1216" s="24" t="str">
        <f aca="false">ScenarioName</f>
        <v>Base</v>
      </c>
    </row>
    <row r="1217" customFormat="false" ht="15" hidden="false" customHeight="false" outlineLevel="0" collapsed="false">
      <c r="A1217" s="8" t="n">
        <v>28</v>
      </c>
      <c r="B1217" s="39" t="n">
        <f aca="false">EDATE(StartDate,A1217-1)</f>
        <v>47209</v>
      </c>
      <c r="C1217" s="24" t="str">
        <f aca="false">Monthly!$B$42</f>
        <v>EnergyWave, Inc.</v>
      </c>
      <c r="D1217" s="24" t="str">
        <f aca="false">Monthly!$C$42</f>
        <v>Legal</v>
      </c>
      <c r="E1217" s="24" t="str">
        <f aca="false">Monthly!$D$42</f>
        <v>Securities</v>
      </c>
      <c r="F1217" s="24" t="str">
        <f aca="false">Monthly!$A$42</f>
        <v>Securities counsel (raise docs, Wyoming pooling LLC, SAFE conversion)</v>
      </c>
      <c r="G1217" s="20" t="n">
        <f aca="false">Monthly!AG$42</f>
        <v>0</v>
      </c>
      <c r="H1217" s="24" t="str">
        <f aca="false">ScenarioName</f>
        <v>Base</v>
      </c>
    </row>
    <row r="1218" customFormat="false" ht="15" hidden="false" customHeight="false" outlineLevel="0" collapsed="false">
      <c r="A1218" s="8" t="n">
        <v>29</v>
      </c>
      <c r="B1218" s="39" t="n">
        <f aca="false">EDATE(StartDate,A1218-1)</f>
        <v>47239</v>
      </c>
      <c r="C1218" s="24" t="str">
        <f aca="false">Monthly!$B$42</f>
        <v>EnergyWave, Inc.</v>
      </c>
      <c r="D1218" s="24" t="str">
        <f aca="false">Monthly!$C$42</f>
        <v>Legal</v>
      </c>
      <c r="E1218" s="24" t="str">
        <f aca="false">Monthly!$D$42</f>
        <v>Securities</v>
      </c>
      <c r="F1218" s="24" t="str">
        <f aca="false">Monthly!$A$42</f>
        <v>Securities counsel (raise docs, Wyoming pooling LLC, SAFE conversion)</v>
      </c>
      <c r="G1218" s="20" t="n">
        <f aca="false">Monthly!AH$42</f>
        <v>0</v>
      </c>
      <c r="H1218" s="24" t="str">
        <f aca="false">ScenarioName</f>
        <v>Base</v>
      </c>
    </row>
    <row r="1219" customFormat="false" ht="15" hidden="false" customHeight="false" outlineLevel="0" collapsed="false">
      <c r="A1219" s="8" t="n">
        <v>30</v>
      </c>
      <c r="B1219" s="39" t="n">
        <f aca="false">EDATE(StartDate,A1219-1)</f>
        <v>47270</v>
      </c>
      <c r="C1219" s="24" t="str">
        <f aca="false">Monthly!$B$42</f>
        <v>EnergyWave, Inc.</v>
      </c>
      <c r="D1219" s="24" t="str">
        <f aca="false">Monthly!$C$42</f>
        <v>Legal</v>
      </c>
      <c r="E1219" s="24" t="str">
        <f aca="false">Monthly!$D$42</f>
        <v>Securities</v>
      </c>
      <c r="F1219" s="24" t="str">
        <f aca="false">Monthly!$A$42</f>
        <v>Securities counsel (raise docs, Wyoming pooling LLC, SAFE conversion)</v>
      </c>
      <c r="G1219" s="20" t="n">
        <f aca="false">Monthly!AI$42</f>
        <v>0</v>
      </c>
      <c r="H1219" s="24" t="str">
        <f aca="false">ScenarioName</f>
        <v>Base</v>
      </c>
    </row>
    <row r="1220" customFormat="false" ht="15" hidden="false" customHeight="false" outlineLevel="0" collapsed="false">
      <c r="A1220" s="8" t="n">
        <v>31</v>
      </c>
      <c r="B1220" s="39" t="n">
        <f aca="false">EDATE(StartDate,A1220-1)</f>
        <v>47300</v>
      </c>
      <c r="C1220" s="24" t="str">
        <f aca="false">Monthly!$B$42</f>
        <v>EnergyWave, Inc.</v>
      </c>
      <c r="D1220" s="24" t="str">
        <f aca="false">Monthly!$C$42</f>
        <v>Legal</v>
      </c>
      <c r="E1220" s="24" t="str">
        <f aca="false">Monthly!$D$42</f>
        <v>Securities</v>
      </c>
      <c r="F1220" s="24" t="str">
        <f aca="false">Monthly!$A$42</f>
        <v>Securities counsel (raise docs, Wyoming pooling LLC, SAFE conversion)</v>
      </c>
      <c r="G1220" s="20" t="n">
        <f aca="false">Monthly!AJ$42</f>
        <v>0</v>
      </c>
      <c r="H1220" s="24" t="str">
        <f aca="false">ScenarioName</f>
        <v>Base</v>
      </c>
    </row>
    <row r="1221" customFormat="false" ht="15" hidden="false" customHeight="false" outlineLevel="0" collapsed="false">
      <c r="A1221" s="8" t="n">
        <v>32</v>
      </c>
      <c r="B1221" s="39" t="n">
        <f aca="false">EDATE(StartDate,A1221-1)</f>
        <v>47331</v>
      </c>
      <c r="C1221" s="24" t="str">
        <f aca="false">Monthly!$B$42</f>
        <v>EnergyWave, Inc.</v>
      </c>
      <c r="D1221" s="24" t="str">
        <f aca="false">Monthly!$C$42</f>
        <v>Legal</v>
      </c>
      <c r="E1221" s="24" t="str">
        <f aca="false">Monthly!$D$42</f>
        <v>Securities</v>
      </c>
      <c r="F1221" s="24" t="str">
        <f aca="false">Monthly!$A$42</f>
        <v>Securities counsel (raise docs, Wyoming pooling LLC, SAFE conversion)</v>
      </c>
      <c r="G1221" s="20" t="n">
        <f aca="false">Monthly!AK$42</f>
        <v>0</v>
      </c>
      <c r="H1221" s="24" t="str">
        <f aca="false">ScenarioName</f>
        <v>Base</v>
      </c>
    </row>
    <row r="1222" customFormat="false" ht="15" hidden="false" customHeight="false" outlineLevel="0" collapsed="false">
      <c r="A1222" s="8" t="n">
        <v>33</v>
      </c>
      <c r="B1222" s="39" t="n">
        <f aca="false">EDATE(StartDate,A1222-1)</f>
        <v>47362</v>
      </c>
      <c r="C1222" s="24" t="str">
        <f aca="false">Monthly!$B$42</f>
        <v>EnergyWave, Inc.</v>
      </c>
      <c r="D1222" s="24" t="str">
        <f aca="false">Monthly!$C$42</f>
        <v>Legal</v>
      </c>
      <c r="E1222" s="24" t="str">
        <f aca="false">Monthly!$D$42</f>
        <v>Securities</v>
      </c>
      <c r="F1222" s="24" t="str">
        <f aca="false">Monthly!$A$42</f>
        <v>Securities counsel (raise docs, Wyoming pooling LLC, SAFE conversion)</v>
      </c>
      <c r="G1222" s="20" t="n">
        <f aca="false">Monthly!AL$42</f>
        <v>0</v>
      </c>
      <c r="H1222" s="24" t="str">
        <f aca="false">ScenarioName</f>
        <v>Base</v>
      </c>
    </row>
    <row r="1223" customFormat="false" ht="15" hidden="false" customHeight="false" outlineLevel="0" collapsed="false">
      <c r="A1223" s="8" t="n">
        <v>34</v>
      </c>
      <c r="B1223" s="39" t="n">
        <f aca="false">EDATE(StartDate,A1223-1)</f>
        <v>47392</v>
      </c>
      <c r="C1223" s="24" t="str">
        <f aca="false">Monthly!$B$42</f>
        <v>EnergyWave, Inc.</v>
      </c>
      <c r="D1223" s="24" t="str">
        <f aca="false">Monthly!$C$42</f>
        <v>Legal</v>
      </c>
      <c r="E1223" s="24" t="str">
        <f aca="false">Monthly!$D$42</f>
        <v>Securities</v>
      </c>
      <c r="F1223" s="24" t="str">
        <f aca="false">Monthly!$A$42</f>
        <v>Securities counsel (raise docs, Wyoming pooling LLC, SAFE conversion)</v>
      </c>
      <c r="G1223" s="20" t="n">
        <f aca="false">Monthly!AM$42</f>
        <v>0</v>
      </c>
      <c r="H1223" s="24" t="str">
        <f aca="false">ScenarioName</f>
        <v>Base</v>
      </c>
    </row>
    <row r="1224" customFormat="false" ht="15" hidden="false" customHeight="false" outlineLevel="0" collapsed="false">
      <c r="A1224" s="8" t="n">
        <v>35</v>
      </c>
      <c r="B1224" s="39" t="n">
        <f aca="false">EDATE(StartDate,A1224-1)</f>
        <v>47423</v>
      </c>
      <c r="C1224" s="24" t="str">
        <f aca="false">Monthly!$B$42</f>
        <v>EnergyWave, Inc.</v>
      </c>
      <c r="D1224" s="24" t="str">
        <f aca="false">Monthly!$C$42</f>
        <v>Legal</v>
      </c>
      <c r="E1224" s="24" t="str">
        <f aca="false">Monthly!$D$42</f>
        <v>Securities</v>
      </c>
      <c r="F1224" s="24" t="str">
        <f aca="false">Monthly!$A$42</f>
        <v>Securities counsel (raise docs, Wyoming pooling LLC, SAFE conversion)</v>
      </c>
      <c r="G1224" s="20" t="n">
        <f aca="false">Monthly!AN$42</f>
        <v>0</v>
      </c>
      <c r="H1224" s="24" t="str">
        <f aca="false">ScenarioName</f>
        <v>Base</v>
      </c>
    </row>
    <row r="1225" customFormat="false" ht="15" hidden="false" customHeight="false" outlineLevel="0" collapsed="false">
      <c r="A1225" s="8" t="n">
        <v>36</v>
      </c>
      <c r="B1225" s="39" t="n">
        <f aca="false">EDATE(StartDate,A1225-1)</f>
        <v>47453</v>
      </c>
      <c r="C1225" s="24" t="str">
        <f aca="false">Monthly!$B$42</f>
        <v>EnergyWave, Inc.</v>
      </c>
      <c r="D1225" s="24" t="str">
        <f aca="false">Monthly!$C$42</f>
        <v>Legal</v>
      </c>
      <c r="E1225" s="24" t="str">
        <f aca="false">Monthly!$D$42</f>
        <v>Securities</v>
      </c>
      <c r="F1225" s="24" t="str">
        <f aca="false">Monthly!$A$42</f>
        <v>Securities counsel (raise docs, Wyoming pooling LLC, SAFE conversion)</v>
      </c>
      <c r="G1225" s="20" t="n">
        <f aca="false">Monthly!AO$42</f>
        <v>0</v>
      </c>
      <c r="H1225" s="24" t="str">
        <f aca="false">ScenarioName</f>
        <v>Base</v>
      </c>
    </row>
    <row r="1226" customFormat="false" ht="15" hidden="false" customHeight="false" outlineLevel="0" collapsed="false">
      <c r="A1226" s="8" t="n">
        <v>1</v>
      </c>
      <c r="B1226" s="39" t="n">
        <f aca="false">EDATE(StartDate,A1226-1)</f>
        <v>46388</v>
      </c>
      <c r="C1226" s="24" t="str">
        <f aca="false">Monthly!$B$43</f>
        <v>EnergyWave, Inc.</v>
      </c>
      <c r="D1226" s="24" t="str">
        <f aca="false">Monthly!$C$43</f>
        <v>Legal</v>
      </c>
      <c r="E1226" s="24" t="str">
        <f aca="false">Monthly!$D$43</f>
        <v>Corporate</v>
      </c>
      <c r="F1226" s="24" t="str">
        <f aca="false">Monthly!$A$43</f>
        <v>Ongoing corporate / employment counsel</v>
      </c>
      <c r="G1226" s="20" t="n">
        <f aca="false">Monthly!F$43</f>
        <v>5000</v>
      </c>
      <c r="H1226" s="24" t="str">
        <f aca="false">ScenarioName</f>
        <v>Base</v>
      </c>
    </row>
    <row r="1227" customFormat="false" ht="15" hidden="false" customHeight="false" outlineLevel="0" collapsed="false">
      <c r="A1227" s="8" t="n">
        <v>2</v>
      </c>
      <c r="B1227" s="39" t="n">
        <f aca="false">EDATE(StartDate,A1227-1)</f>
        <v>46419</v>
      </c>
      <c r="C1227" s="24" t="str">
        <f aca="false">Monthly!$B$43</f>
        <v>EnergyWave, Inc.</v>
      </c>
      <c r="D1227" s="24" t="str">
        <f aca="false">Monthly!$C$43</f>
        <v>Legal</v>
      </c>
      <c r="E1227" s="24" t="str">
        <f aca="false">Monthly!$D$43</f>
        <v>Corporate</v>
      </c>
      <c r="F1227" s="24" t="str">
        <f aca="false">Monthly!$A$43</f>
        <v>Ongoing corporate / employment counsel</v>
      </c>
      <c r="G1227" s="20" t="n">
        <f aca="false">Monthly!G$43</f>
        <v>5000</v>
      </c>
      <c r="H1227" s="24" t="str">
        <f aca="false">ScenarioName</f>
        <v>Base</v>
      </c>
    </row>
    <row r="1228" customFormat="false" ht="15" hidden="false" customHeight="false" outlineLevel="0" collapsed="false">
      <c r="A1228" s="8" t="n">
        <v>3</v>
      </c>
      <c r="B1228" s="39" t="n">
        <f aca="false">EDATE(StartDate,A1228-1)</f>
        <v>46447</v>
      </c>
      <c r="C1228" s="24" t="str">
        <f aca="false">Monthly!$B$43</f>
        <v>EnergyWave, Inc.</v>
      </c>
      <c r="D1228" s="24" t="str">
        <f aca="false">Monthly!$C$43</f>
        <v>Legal</v>
      </c>
      <c r="E1228" s="24" t="str">
        <f aca="false">Monthly!$D$43</f>
        <v>Corporate</v>
      </c>
      <c r="F1228" s="24" t="str">
        <f aca="false">Monthly!$A$43</f>
        <v>Ongoing corporate / employment counsel</v>
      </c>
      <c r="G1228" s="20" t="n">
        <f aca="false">Monthly!H$43</f>
        <v>5000</v>
      </c>
      <c r="H1228" s="24" t="str">
        <f aca="false">ScenarioName</f>
        <v>Base</v>
      </c>
    </row>
    <row r="1229" customFormat="false" ht="15" hidden="false" customHeight="false" outlineLevel="0" collapsed="false">
      <c r="A1229" s="8" t="n">
        <v>4</v>
      </c>
      <c r="B1229" s="39" t="n">
        <f aca="false">EDATE(StartDate,A1229-1)</f>
        <v>46478</v>
      </c>
      <c r="C1229" s="24" t="str">
        <f aca="false">Monthly!$B$43</f>
        <v>EnergyWave, Inc.</v>
      </c>
      <c r="D1229" s="24" t="str">
        <f aca="false">Monthly!$C$43</f>
        <v>Legal</v>
      </c>
      <c r="E1229" s="24" t="str">
        <f aca="false">Monthly!$D$43</f>
        <v>Corporate</v>
      </c>
      <c r="F1229" s="24" t="str">
        <f aca="false">Monthly!$A$43</f>
        <v>Ongoing corporate / employment counsel</v>
      </c>
      <c r="G1229" s="20" t="n">
        <f aca="false">Monthly!I$43</f>
        <v>5000</v>
      </c>
      <c r="H1229" s="24" t="str">
        <f aca="false">ScenarioName</f>
        <v>Base</v>
      </c>
    </row>
    <row r="1230" customFormat="false" ht="15" hidden="false" customHeight="false" outlineLevel="0" collapsed="false">
      <c r="A1230" s="8" t="n">
        <v>5</v>
      </c>
      <c r="B1230" s="39" t="n">
        <f aca="false">EDATE(StartDate,A1230-1)</f>
        <v>46508</v>
      </c>
      <c r="C1230" s="24" t="str">
        <f aca="false">Monthly!$B$43</f>
        <v>EnergyWave, Inc.</v>
      </c>
      <c r="D1230" s="24" t="str">
        <f aca="false">Monthly!$C$43</f>
        <v>Legal</v>
      </c>
      <c r="E1230" s="24" t="str">
        <f aca="false">Monthly!$D$43</f>
        <v>Corporate</v>
      </c>
      <c r="F1230" s="24" t="str">
        <f aca="false">Monthly!$A$43</f>
        <v>Ongoing corporate / employment counsel</v>
      </c>
      <c r="G1230" s="20" t="n">
        <f aca="false">Monthly!J$43</f>
        <v>5000</v>
      </c>
      <c r="H1230" s="24" t="str">
        <f aca="false">ScenarioName</f>
        <v>Base</v>
      </c>
    </row>
    <row r="1231" customFormat="false" ht="15" hidden="false" customHeight="false" outlineLevel="0" collapsed="false">
      <c r="A1231" s="8" t="n">
        <v>6</v>
      </c>
      <c r="B1231" s="39" t="n">
        <f aca="false">EDATE(StartDate,A1231-1)</f>
        <v>46539</v>
      </c>
      <c r="C1231" s="24" t="str">
        <f aca="false">Monthly!$B$43</f>
        <v>EnergyWave, Inc.</v>
      </c>
      <c r="D1231" s="24" t="str">
        <f aca="false">Monthly!$C$43</f>
        <v>Legal</v>
      </c>
      <c r="E1231" s="24" t="str">
        <f aca="false">Monthly!$D$43</f>
        <v>Corporate</v>
      </c>
      <c r="F1231" s="24" t="str">
        <f aca="false">Monthly!$A$43</f>
        <v>Ongoing corporate / employment counsel</v>
      </c>
      <c r="G1231" s="20" t="n">
        <f aca="false">Monthly!K$43</f>
        <v>5000</v>
      </c>
      <c r="H1231" s="24" t="str">
        <f aca="false">ScenarioName</f>
        <v>Base</v>
      </c>
    </row>
    <row r="1232" customFormat="false" ht="15" hidden="false" customHeight="false" outlineLevel="0" collapsed="false">
      <c r="A1232" s="8" t="n">
        <v>7</v>
      </c>
      <c r="B1232" s="39" t="n">
        <f aca="false">EDATE(StartDate,A1232-1)</f>
        <v>46569</v>
      </c>
      <c r="C1232" s="24" t="str">
        <f aca="false">Monthly!$B$43</f>
        <v>EnergyWave, Inc.</v>
      </c>
      <c r="D1232" s="24" t="str">
        <f aca="false">Monthly!$C$43</f>
        <v>Legal</v>
      </c>
      <c r="E1232" s="24" t="str">
        <f aca="false">Monthly!$D$43</f>
        <v>Corporate</v>
      </c>
      <c r="F1232" s="24" t="str">
        <f aca="false">Monthly!$A$43</f>
        <v>Ongoing corporate / employment counsel</v>
      </c>
      <c r="G1232" s="20" t="n">
        <f aca="false">Monthly!L$43</f>
        <v>5000</v>
      </c>
      <c r="H1232" s="24" t="str">
        <f aca="false">ScenarioName</f>
        <v>Base</v>
      </c>
    </row>
    <row r="1233" customFormat="false" ht="15" hidden="false" customHeight="false" outlineLevel="0" collapsed="false">
      <c r="A1233" s="8" t="n">
        <v>8</v>
      </c>
      <c r="B1233" s="39" t="n">
        <f aca="false">EDATE(StartDate,A1233-1)</f>
        <v>46600</v>
      </c>
      <c r="C1233" s="24" t="str">
        <f aca="false">Monthly!$B$43</f>
        <v>EnergyWave, Inc.</v>
      </c>
      <c r="D1233" s="24" t="str">
        <f aca="false">Monthly!$C$43</f>
        <v>Legal</v>
      </c>
      <c r="E1233" s="24" t="str">
        <f aca="false">Monthly!$D$43</f>
        <v>Corporate</v>
      </c>
      <c r="F1233" s="24" t="str">
        <f aca="false">Monthly!$A$43</f>
        <v>Ongoing corporate / employment counsel</v>
      </c>
      <c r="G1233" s="20" t="n">
        <f aca="false">Monthly!M$43</f>
        <v>5000</v>
      </c>
      <c r="H1233" s="24" t="str">
        <f aca="false">ScenarioName</f>
        <v>Base</v>
      </c>
    </row>
    <row r="1234" customFormat="false" ht="15" hidden="false" customHeight="false" outlineLevel="0" collapsed="false">
      <c r="A1234" s="8" t="n">
        <v>9</v>
      </c>
      <c r="B1234" s="39" t="n">
        <f aca="false">EDATE(StartDate,A1234-1)</f>
        <v>46631</v>
      </c>
      <c r="C1234" s="24" t="str">
        <f aca="false">Monthly!$B$43</f>
        <v>EnergyWave, Inc.</v>
      </c>
      <c r="D1234" s="24" t="str">
        <f aca="false">Monthly!$C$43</f>
        <v>Legal</v>
      </c>
      <c r="E1234" s="24" t="str">
        <f aca="false">Monthly!$D$43</f>
        <v>Corporate</v>
      </c>
      <c r="F1234" s="24" t="str">
        <f aca="false">Monthly!$A$43</f>
        <v>Ongoing corporate / employment counsel</v>
      </c>
      <c r="G1234" s="20" t="n">
        <f aca="false">Monthly!N$43</f>
        <v>5000</v>
      </c>
      <c r="H1234" s="24" t="str">
        <f aca="false">ScenarioName</f>
        <v>Base</v>
      </c>
    </row>
    <row r="1235" customFormat="false" ht="15" hidden="false" customHeight="false" outlineLevel="0" collapsed="false">
      <c r="A1235" s="8" t="n">
        <v>10</v>
      </c>
      <c r="B1235" s="39" t="n">
        <f aca="false">EDATE(StartDate,A1235-1)</f>
        <v>46661</v>
      </c>
      <c r="C1235" s="24" t="str">
        <f aca="false">Monthly!$B$43</f>
        <v>EnergyWave, Inc.</v>
      </c>
      <c r="D1235" s="24" t="str">
        <f aca="false">Monthly!$C$43</f>
        <v>Legal</v>
      </c>
      <c r="E1235" s="24" t="str">
        <f aca="false">Monthly!$D$43</f>
        <v>Corporate</v>
      </c>
      <c r="F1235" s="24" t="str">
        <f aca="false">Monthly!$A$43</f>
        <v>Ongoing corporate / employment counsel</v>
      </c>
      <c r="G1235" s="20" t="n">
        <f aca="false">Monthly!O$43</f>
        <v>5000</v>
      </c>
      <c r="H1235" s="24" t="str">
        <f aca="false">ScenarioName</f>
        <v>Base</v>
      </c>
    </row>
    <row r="1236" customFormat="false" ht="15" hidden="false" customHeight="false" outlineLevel="0" collapsed="false">
      <c r="A1236" s="8" t="n">
        <v>11</v>
      </c>
      <c r="B1236" s="39" t="n">
        <f aca="false">EDATE(StartDate,A1236-1)</f>
        <v>46692</v>
      </c>
      <c r="C1236" s="24" t="str">
        <f aca="false">Monthly!$B$43</f>
        <v>EnergyWave, Inc.</v>
      </c>
      <c r="D1236" s="24" t="str">
        <f aca="false">Monthly!$C$43</f>
        <v>Legal</v>
      </c>
      <c r="E1236" s="24" t="str">
        <f aca="false">Monthly!$D$43</f>
        <v>Corporate</v>
      </c>
      <c r="F1236" s="24" t="str">
        <f aca="false">Monthly!$A$43</f>
        <v>Ongoing corporate / employment counsel</v>
      </c>
      <c r="G1236" s="20" t="n">
        <f aca="false">Monthly!P$43</f>
        <v>5000</v>
      </c>
      <c r="H1236" s="24" t="str">
        <f aca="false">ScenarioName</f>
        <v>Base</v>
      </c>
    </row>
    <row r="1237" customFormat="false" ht="15" hidden="false" customHeight="false" outlineLevel="0" collapsed="false">
      <c r="A1237" s="8" t="n">
        <v>12</v>
      </c>
      <c r="B1237" s="39" t="n">
        <f aca="false">EDATE(StartDate,A1237-1)</f>
        <v>46722</v>
      </c>
      <c r="C1237" s="24" t="str">
        <f aca="false">Monthly!$B$43</f>
        <v>EnergyWave, Inc.</v>
      </c>
      <c r="D1237" s="24" t="str">
        <f aca="false">Monthly!$C$43</f>
        <v>Legal</v>
      </c>
      <c r="E1237" s="24" t="str">
        <f aca="false">Monthly!$D$43</f>
        <v>Corporate</v>
      </c>
      <c r="F1237" s="24" t="str">
        <f aca="false">Monthly!$A$43</f>
        <v>Ongoing corporate / employment counsel</v>
      </c>
      <c r="G1237" s="20" t="n">
        <f aca="false">Monthly!Q$43</f>
        <v>5000</v>
      </c>
      <c r="H1237" s="24" t="str">
        <f aca="false">ScenarioName</f>
        <v>Base</v>
      </c>
    </row>
    <row r="1238" customFormat="false" ht="15" hidden="false" customHeight="false" outlineLevel="0" collapsed="false">
      <c r="A1238" s="8" t="n">
        <v>13</v>
      </c>
      <c r="B1238" s="39" t="n">
        <f aca="false">EDATE(StartDate,A1238-1)</f>
        <v>46753</v>
      </c>
      <c r="C1238" s="24" t="str">
        <f aca="false">Monthly!$B$43</f>
        <v>EnergyWave, Inc.</v>
      </c>
      <c r="D1238" s="24" t="str">
        <f aca="false">Monthly!$C$43</f>
        <v>Legal</v>
      </c>
      <c r="E1238" s="24" t="str">
        <f aca="false">Monthly!$D$43</f>
        <v>Corporate</v>
      </c>
      <c r="F1238" s="24" t="str">
        <f aca="false">Monthly!$A$43</f>
        <v>Ongoing corporate / employment counsel</v>
      </c>
      <c r="G1238" s="20" t="n">
        <f aca="false">Monthly!R$43</f>
        <v>5000</v>
      </c>
      <c r="H1238" s="24" t="str">
        <f aca="false">ScenarioName</f>
        <v>Base</v>
      </c>
    </row>
    <row r="1239" customFormat="false" ht="15" hidden="false" customHeight="false" outlineLevel="0" collapsed="false">
      <c r="A1239" s="8" t="n">
        <v>14</v>
      </c>
      <c r="B1239" s="39" t="n">
        <f aca="false">EDATE(StartDate,A1239-1)</f>
        <v>46784</v>
      </c>
      <c r="C1239" s="24" t="str">
        <f aca="false">Monthly!$B$43</f>
        <v>EnergyWave, Inc.</v>
      </c>
      <c r="D1239" s="24" t="str">
        <f aca="false">Monthly!$C$43</f>
        <v>Legal</v>
      </c>
      <c r="E1239" s="24" t="str">
        <f aca="false">Monthly!$D$43</f>
        <v>Corporate</v>
      </c>
      <c r="F1239" s="24" t="str">
        <f aca="false">Monthly!$A$43</f>
        <v>Ongoing corporate / employment counsel</v>
      </c>
      <c r="G1239" s="20" t="n">
        <f aca="false">Monthly!S$43</f>
        <v>5000</v>
      </c>
      <c r="H1239" s="24" t="str">
        <f aca="false">ScenarioName</f>
        <v>Base</v>
      </c>
    </row>
    <row r="1240" customFormat="false" ht="15" hidden="false" customHeight="false" outlineLevel="0" collapsed="false">
      <c r="A1240" s="8" t="n">
        <v>15</v>
      </c>
      <c r="B1240" s="39" t="n">
        <f aca="false">EDATE(StartDate,A1240-1)</f>
        <v>46813</v>
      </c>
      <c r="C1240" s="24" t="str">
        <f aca="false">Monthly!$B$43</f>
        <v>EnergyWave, Inc.</v>
      </c>
      <c r="D1240" s="24" t="str">
        <f aca="false">Monthly!$C$43</f>
        <v>Legal</v>
      </c>
      <c r="E1240" s="24" t="str">
        <f aca="false">Monthly!$D$43</f>
        <v>Corporate</v>
      </c>
      <c r="F1240" s="24" t="str">
        <f aca="false">Monthly!$A$43</f>
        <v>Ongoing corporate / employment counsel</v>
      </c>
      <c r="G1240" s="20" t="n">
        <f aca="false">Monthly!T$43</f>
        <v>5000</v>
      </c>
      <c r="H1240" s="24" t="str">
        <f aca="false">ScenarioName</f>
        <v>Base</v>
      </c>
    </row>
    <row r="1241" customFormat="false" ht="15" hidden="false" customHeight="false" outlineLevel="0" collapsed="false">
      <c r="A1241" s="8" t="n">
        <v>16</v>
      </c>
      <c r="B1241" s="39" t="n">
        <f aca="false">EDATE(StartDate,A1241-1)</f>
        <v>46844</v>
      </c>
      <c r="C1241" s="24" t="str">
        <f aca="false">Monthly!$B$43</f>
        <v>EnergyWave, Inc.</v>
      </c>
      <c r="D1241" s="24" t="str">
        <f aca="false">Monthly!$C$43</f>
        <v>Legal</v>
      </c>
      <c r="E1241" s="24" t="str">
        <f aca="false">Monthly!$D$43</f>
        <v>Corporate</v>
      </c>
      <c r="F1241" s="24" t="str">
        <f aca="false">Monthly!$A$43</f>
        <v>Ongoing corporate / employment counsel</v>
      </c>
      <c r="G1241" s="20" t="n">
        <f aca="false">Monthly!U$43</f>
        <v>5000</v>
      </c>
      <c r="H1241" s="24" t="str">
        <f aca="false">ScenarioName</f>
        <v>Base</v>
      </c>
    </row>
    <row r="1242" customFormat="false" ht="15" hidden="false" customHeight="false" outlineLevel="0" collapsed="false">
      <c r="A1242" s="8" t="n">
        <v>17</v>
      </c>
      <c r="B1242" s="39" t="n">
        <f aca="false">EDATE(StartDate,A1242-1)</f>
        <v>46874</v>
      </c>
      <c r="C1242" s="24" t="str">
        <f aca="false">Monthly!$B$43</f>
        <v>EnergyWave, Inc.</v>
      </c>
      <c r="D1242" s="24" t="str">
        <f aca="false">Monthly!$C$43</f>
        <v>Legal</v>
      </c>
      <c r="E1242" s="24" t="str">
        <f aca="false">Monthly!$D$43</f>
        <v>Corporate</v>
      </c>
      <c r="F1242" s="24" t="str">
        <f aca="false">Monthly!$A$43</f>
        <v>Ongoing corporate / employment counsel</v>
      </c>
      <c r="G1242" s="20" t="n">
        <f aca="false">Monthly!V$43</f>
        <v>5000</v>
      </c>
      <c r="H1242" s="24" t="str">
        <f aca="false">ScenarioName</f>
        <v>Base</v>
      </c>
    </row>
    <row r="1243" customFormat="false" ht="15" hidden="false" customHeight="false" outlineLevel="0" collapsed="false">
      <c r="A1243" s="8" t="n">
        <v>18</v>
      </c>
      <c r="B1243" s="39" t="n">
        <f aca="false">EDATE(StartDate,A1243-1)</f>
        <v>46905</v>
      </c>
      <c r="C1243" s="24" t="str">
        <f aca="false">Monthly!$B$43</f>
        <v>EnergyWave, Inc.</v>
      </c>
      <c r="D1243" s="24" t="str">
        <f aca="false">Monthly!$C$43</f>
        <v>Legal</v>
      </c>
      <c r="E1243" s="24" t="str">
        <f aca="false">Monthly!$D$43</f>
        <v>Corporate</v>
      </c>
      <c r="F1243" s="24" t="str">
        <f aca="false">Monthly!$A$43</f>
        <v>Ongoing corporate / employment counsel</v>
      </c>
      <c r="G1243" s="20" t="n">
        <f aca="false">Monthly!W$43</f>
        <v>5000</v>
      </c>
      <c r="H1243" s="24" t="str">
        <f aca="false">ScenarioName</f>
        <v>Base</v>
      </c>
    </row>
    <row r="1244" customFormat="false" ht="15" hidden="false" customHeight="false" outlineLevel="0" collapsed="false">
      <c r="A1244" s="8" t="n">
        <v>19</v>
      </c>
      <c r="B1244" s="39" t="n">
        <f aca="false">EDATE(StartDate,A1244-1)</f>
        <v>46935</v>
      </c>
      <c r="C1244" s="24" t="str">
        <f aca="false">Monthly!$B$43</f>
        <v>EnergyWave, Inc.</v>
      </c>
      <c r="D1244" s="24" t="str">
        <f aca="false">Monthly!$C$43</f>
        <v>Legal</v>
      </c>
      <c r="E1244" s="24" t="str">
        <f aca="false">Monthly!$D$43</f>
        <v>Corporate</v>
      </c>
      <c r="F1244" s="24" t="str">
        <f aca="false">Monthly!$A$43</f>
        <v>Ongoing corporate / employment counsel</v>
      </c>
      <c r="G1244" s="20" t="n">
        <f aca="false">Monthly!X$43</f>
        <v>5000</v>
      </c>
      <c r="H1244" s="24" t="str">
        <f aca="false">ScenarioName</f>
        <v>Base</v>
      </c>
    </row>
    <row r="1245" customFormat="false" ht="15" hidden="false" customHeight="false" outlineLevel="0" collapsed="false">
      <c r="A1245" s="8" t="n">
        <v>20</v>
      </c>
      <c r="B1245" s="39" t="n">
        <f aca="false">EDATE(StartDate,A1245-1)</f>
        <v>46966</v>
      </c>
      <c r="C1245" s="24" t="str">
        <f aca="false">Monthly!$B$43</f>
        <v>EnergyWave, Inc.</v>
      </c>
      <c r="D1245" s="24" t="str">
        <f aca="false">Monthly!$C$43</f>
        <v>Legal</v>
      </c>
      <c r="E1245" s="24" t="str">
        <f aca="false">Monthly!$D$43</f>
        <v>Corporate</v>
      </c>
      <c r="F1245" s="24" t="str">
        <f aca="false">Monthly!$A$43</f>
        <v>Ongoing corporate / employment counsel</v>
      </c>
      <c r="G1245" s="20" t="n">
        <f aca="false">Monthly!Y$43</f>
        <v>5000</v>
      </c>
      <c r="H1245" s="24" t="str">
        <f aca="false">ScenarioName</f>
        <v>Base</v>
      </c>
    </row>
    <row r="1246" customFormat="false" ht="15" hidden="false" customHeight="false" outlineLevel="0" collapsed="false">
      <c r="A1246" s="8" t="n">
        <v>21</v>
      </c>
      <c r="B1246" s="39" t="n">
        <f aca="false">EDATE(StartDate,A1246-1)</f>
        <v>46997</v>
      </c>
      <c r="C1246" s="24" t="str">
        <f aca="false">Monthly!$B$43</f>
        <v>EnergyWave, Inc.</v>
      </c>
      <c r="D1246" s="24" t="str">
        <f aca="false">Monthly!$C$43</f>
        <v>Legal</v>
      </c>
      <c r="E1246" s="24" t="str">
        <f aca="false">Monthly!$D$43</f>
        <v>Corporate</v>
      </c>
      <c r="F1246" s="24" t="str">
        <f aca="false">Monthly!$A$43</f>
        <v>Ongoing corporate / employment counsel</v>
      </c>
      <c r="G1246" s="20" t="n">
        <f aca="false">Monthly!Z$43</f>
        <v>5000</v>
      </c>
      <c r="H1246" s="24" t="str">
        <f aca="false">ScenarioName</f>
        <v>Base</v>
      </c>
    </row>
    <row r="1247" customFormat="false" ht="15" hidden="false" customHeight="false" outlineLevel="0" collapsed="false">
      <c r="A1247" s="8" t="n">
        <v>22</v>
      </c>
      <c r="B1247" s="39" t="n">
        <f aca="false">EDATE(StartDate,A1247-1)</f>
        <v>47027</v>
      </c>
      <c r="C1247" s="24" t="str">
        <f aca="false">Monthly!$B$43</f>
        <v>EnergyWave, Inc.</v>
      </c>
      <c r="D1247" s="24" t="str">
        <f aca="false">Monthly!$C$43</f>
        <v>Legal</v>
      </c>
      <c r="E1247" s="24" t="str">
        <f aca="false">Monthly!$D$43</f>
        <v>Corporate</v>
      </c>
      <c r="F1247" s="24" t="str">
        <f aca="false">Monthly!$A$43</f>
        <v>Ongoing corporate / employment counsel</v>
      </c>
      <c r="G1247" s="20" t="n">
        <f aca="false">Monthly!AA$43</f>
        <v>5000</v>
      </c>
      <c r="H1247" s="24" t="str">
        <f aca="false">ScenarioName</f>
        <v>Base</v>
      </c>
    </row>
    <row r="1248" customFormat="false" ht="15" hidden="false" customHeight="false" outlineLevel="0" collapsed="false">
      <c r="A1248" s="8" t="n">
        <v>23</v>
      </c>
      <c r="B1248" s="39" t="n">
        <f aca="false">EDATE(StartDate,A1248-1)</f>
        <v>47058</v>
      </c>
      <c r="C1248" s="24" t="str">
        <f aca="false">Monthly!$B$43</f>
        <v>EnergyWave, Inc.</v>
      </c>
      <c r="D1248" s="24" t="str">
        <f aca="false">Monthly!$C$43</f>
        <v>Legal</v>
      </c>
      <c r="E1248" s="24" t="str">
        <f aca="false">Monthly!$D$43</f>
        <v>Corporate</v>
      </c>
      <c r="F1248" s="24" t="str">
        <f aca="false">Monthly!$A$43</f>
        <v>Ongoing corporate / employment counsel</v>
      </c>
      <c r="G1248" s="20" t="n">
        <f aca="false">Monthly!AB$43</f>
        <v>5000</v>
      </c>
      <c r="H1248" s="24" t="str">
        <f aca="false">ScenarioName</f>
        <v>Base</v>
      </c>
    </row>
    <row r="1249" customFormat="false" ht="15" hidden="false" customHeight="false" outlineLevel="0" collapsed="false">
      <c r="A1249" s="8" t="n">
        <v>24</v>
      </c>
      <c r="B1249" s="39" t="n">
        <f aca="false">EDATE(StartDate,A1249-1)</f>
        <v>47088</v>
      </c>
      <c r="C1249" s="24" t="str">
        <f aca="false">Monthly!$B$43</f>
        <v>EnergyWave, Inc.</v>
      </c>
      <c r="D1249" s="24" t="str">
        <f aca="false">Monthly!$C$43</f>
        <v>Legal</v>
      </c>
      <c r="E1249" s="24" t="str">
        <f aca="false">Monthly!$D$43</f>
        <v>Corporate</v>
      </c>
      <c r="F1249" s="24" t="str">
        <f aca="false">Monthly!$A$43</f>
        <v>Ongoing corporate / employment counsel</v>
      </c>
      <c r="G1249" s="20" t="n">
        <f aca="false">Monthly!AC$43</f>
        <v>5000</v>
      </c>
      <c r="H1249" s="24" t="str">
        <f aca="false">ScenarioName</f>
        <v>Base</v>
      </c>
    </row>
    <row r="1250" customFormat="false" ht="15" hidden="false" customHeight="false" outlineLevel="0" collapsed="false">
      <c r="A1250" s="8" t="n">
        <v>25</v>
      </c>
      <c r="B1250" s="39" t="n">
        <f aca="false">EDATE(StartDate,A1250-1)</f>
        <v>47119</v>
      </c>
      <c r="C1250" s="24" t="str">
        <f aca="false">Monthly!$B$43</f>
        <v>EnergyWave, Inc.</v>
      </c>
      <c r="D1250" s="24" t="str">
        <f aca="false">Monthly!$C$43</f>
        <v>Legal</v>
      </c>
      <c r="E1250" s="24" t="str">
        <f aca="false">Monthly!$D$43</f>
        <v>Corporate</v>
      </c>
      <c r="F1250" s="24" t="str">
        <f aca="false">Monthly!$A$43</f>
        <v>Ongoing corporate / employment counsel</v>
      </c>
      <c r="G1250" s="20" t="n">
        <f aca="false">Monthly!AD$43</f>
        <v>5000</v>
      </c>
      <c r="H1250" s="24" t="str">
        <f aca="false">ScenarioName</f>
        <v>Base</v>
      </c>
    </row>
    <row r="1251" customFormat="false" ht="15" hidden="false" customHeight="false" outlineLevel="0" collapsed="false">
      <c r="A1251" s="8" t="n">
        <v>26</v>
      </c>
      <c r="B1251" s="39" t="n">
        <f aca="false">EDATE(StartDate,A1251-1)</f>
        <v>47150</v>
      </c>
      <c r="C1251" s="24" t="str">
        <f aca="false">Monthly!$B$43</f>
        <v>EnergyWave, Inc.</v>
      </c>
      <c r="D1251" s="24" t="str">
        <f aca="false">Monthly!$C$43</f>
        <v>Legal</v>
      </c>
      <c r="E1251" s="24" t="str">
        <f aca="false">Monthly!$D$43</f>
        <v>Corporate</v>
      </c>
      <c r="F1251" s="24" t="str">
        <f aca="false">Monthly!$A$43</f>
        <v>Ongoing corporate / employment counsel</v>
      </c>
      <c r="G1251" s="20" t="n">
        <f aca="false">Monthly!AE$43</f>
        <v>5000</v>
      </c>
      <c r="H1251" s="24" t="str">
        <f aca="false">ScenarioName</f>
        <v>Base</v>
      </c>
    </row>
    <row r="1252" customFormat="false" ht="15" hidden="false" customHeight="false" outlineLevel="0" collapsed="false">
      <c r="A1252" s="8" t="n">
        <v>27</v>
      </c>
      <c r="B1252" s="39" t="n">
        <f aca="false">EDATE(StartDate,A1252-1)</f>
        <v>47178</v>
      </c>
      <c r="C1252" s="24" t="str">
        <f aca="false">Monthly!$B$43</f>
        <v>EnergyWave, Inc.</v>
      </c>
      <c r="D1252" s="24" t="str">
        <f aca="false">Monthly!$C$43</f>
        <v>Legal</v>
      </c>
      <c r="E1252" s="24" t="str">
        <f aca="false">Monthly!$D$43</f>
        <v>Corporate</v>
      </c>
      <c r="F1252" s="24" t="str">
        <f aca="false">Monthly!$A$43</f>
        <v>Ongoing corporate / employment counsel</v>
      </c>
      <c r="G1252" s="20" t="n">
        <f aca="false">Monthly!AF$43</f>
        <v>5000</v>
      </c>
      <c r="H1252" s="24" t="str">
        <f aca="false">ScenarioName</f>
        <v>Base</v>
      </c>
    </row>
    <row r="1253" customFormat="false" ht="15" hidden="false" customHeight="false" outlineLevel="0" collapsed="false">
      <c r="A1253" s="8" t="n">
        <v>28</v>
      </c>
      <c r="B1253" s="39" t="n">
        <f aca="false">EDATE(StartDate,A1253-1)</f>
        <v>47209</v>
      </c>
      <c r="C1253" s="24" t="str">
        <f aca="false">Monthly!$B$43</f>
        <v>EnergyWave, Inc.</v>
      </c>
      <c r="D1253" s="24" t="str">
        <f aca="false">Monthly!$C$43</f>
        <v>Legal</v>
      </c>
      <c r="E1253" s="24" t="str">
        <f aca="false">Monthly!$D$43</f>
        <v>Corporate</v>
      </c>
      <c r="F1253" s="24" t="str">
        <f aca="false">Monthly!$A$43</f>
        <v>Ongoing corporate / employment counsel</v>
      </c>
      <c r="G1253" s="20" t="n">
        <f aca="false">Monthly!AG$43</f>
        <v>5000</v>
      </c>
      <c r="H1253" s="24" t="str">
        <f aca="false">ScenarioName</f>
        <v>Base</v>
      </c>
    </row>
    <row r="1254" customFormat="false" ht="15" hidden="false" customHeight="false" outlineLevel="0" collapsed="false">
      <c r="A1254" s="8" t="n">
        <v>29</v>
      </c>
      <c r="B1254" s="39" t="n">
        <f aca="false">EDATE(StartDate,A1254-1)</f>
        <v>47239</v>
      </c>
      <c r="C1254" s="24" t="str">
        <f aca="false">Monthly!$B$43</f>
        <v>EnergyWave, Inc.</v>
      </c>
      <c r="D1254" s="24" t="str">
        <f aca="false">Monthly!$C$43</f>
        <v>Legal</v>
      </c>
      <c r="E1254" s="24" t="str">
        <f aca="false">Monthly!$D$43</f>
        <v>Corporate</v>
      </c>
      <c r="F1254" s="24" t="str">
        <f aca="false">Monthly!$A$43</f>
        <v>Ongoing corporate / employment counsel</v>
      </c>
      <c r="G1254" s="20" t="n">
        <f aca="false">Monthly!AH$43</f>
        <v>5000</v>
      </c>
      <c r="H1254" s="24" t="str">
        <f aca="false">ScenarioName</f>
        <v>Base</v>
      </c>
    </row>
    <row r="1255" customFormat="false" ht="15" hidden="false" customHeight="false" outlineLevel="0" collapsed="false">
      <c r="A1255" s="8" t="n">
        <v>30</v>
      </c>
      <c r="B1255" s="39" t="n">
        <f aca="false">EDATE(StartDate,A1255-1)</f>
        <v>47270</v>
      </c>
      <c r="C1255" s="24" t="str">
        <f aca="false">Monthly!$B$43</f>
        <v>EnergyWave, Inc.</v>
      </c>
      <c r="D1255" s="24" t="str">
        <f aca="false">Monthly!$C$43</f>
        <v>Legal</v>
      </c>
      <c r="E1255" s="24" t="str">
        <f aca="false">Monthly!$D$43</f>
        <v>Corporate</v>
      </c>
      <c r="F1255" s="24" t="str">
        <f aca="false">Monthly!$A$43</f>
        <v>Ongoing corporate / employment counsel</v>
      </c>
      <c r="G1255" s="20" t="n">
        <f aca="false">Monthly!AI$43</f>
        <v>5000</v>
      </c>
      <c r="H1255" s="24" t="str">
        <f aca="false">ScenarioName</f>
        <v>Base</v>
      </c>
    </row>
    <row r="1256" customFormat="false" ht="15" hidden="false" customHeight="false" outlineLevel="0" collapsed="false">
      <c r="A1256" s="8" t="n">
        <v>31</v>
      </c>
      <c r="B1256" s="39" t="n">
        <f aca="false">EDATE(StartDate,A1256-1)</f>
        <v>47300</v>
      </c>
      <c r="C1256" s="24" t="str">
        <f aca="false">Monthly!$B$43</f>
        <v>EnergyWave, Inc.</v>
      </c>
      <c r="D1256" s="24" t="str">
        <f aca="false">Monthly!$C$43</f>
        <v>Legal</v>
      </c>
      <c r="E1256" s="24" t="str">
        <f aca="false">Monthly!$D$43</f>
        <v>Corporate</v>
      </c>
      <c r="F1256" s="24" t="str">
        <f aca="false">Monthly!$A$43</f>
        <v>Ongoing corporate / employment counsel</v>
      </c>
      <c r="G1256" s="20" t="n">
        <f aca="false">Monthly!AJ$43</f>
        <v>5000</v>
      </c>
      <c r="H1256" s="24" t="str">
        <f aca="false">ScenarioName</f>
        <v>Base</v>
      </c>
    </row>
    <row r="1257" customFormat="false" ht="15" hidden="false" customHeight="false" outlineLevel="0" collapsed="false">
      <c r="A1257" s="8" t="n">
        <v>32</v>
      </c>
      <c r="B1257" s="39" t="n">
        <f aca="false">EDATE(StartDate,A1257-1)</f>
        <v>47331</v>
      </c>
      <c r="C1257" s="24" t="str">
        <f aca="false">Monthly!$B$43</f>
        <v>EnergyWave, Inc.</v>
      </c>
      <c r="D1257" s="24" t="str">
        <f aca="false">Monthly!$C$43</f>
        <v>Legal</v>
      </c>
      <c r="E1257" s="24" t="str">
        <f aca="false">Monthly!$D$43</f>
        <v>Corporate</v>
      </c>
      <c r="F1257" s="24" t="str">
        <f aca="false">Monthly!$A$43</f>
        <v>Ongoing corporate / employment counsel</v>
      </c>
      <c r="G1257" s="20" t="n">
        <f aca="false">Monthly!AK$43</f>
        <v>5000</v>
      </c>
      <c r="H1257" s="24" t="str">
        <f aca="false">ScenarioName</f>
        <v>Base</v>
      </c>
    </row>
    <row r="1258" customFormat="false" ht="15" hidden="false" customHeight="false" outlineLevel="0" collapsed="false">
      <c r="A1258" s="8" t="n">
        <v>33</v>
      </c>
      <c r="B1258" s="39" t="n">
        <f aca="false">EDATE(StartDate,A1258-1)</f>
        <v>47362</v>
      </c>
      <c r="C1258" s="24" t="str">
        <f aca="false">Monthly!$B$43</f>
        <v>EnergyWave, Inc.</v>
      </c>
      <c r="D1258" s="24" t="str">
        <f aca="false">Monthly!$C$43</f>
        <v>Legal</v>
      </c>
      <c r="E1258" s="24" t="str">
        <f aca="false">Monthly!$D$43</f>
        <v>Corporate</v>
      </c>
      <c r="F1258" s="24" t="str">
        <f aca="false">Monthly!$A$43</f>
        <v>Ongoing corporate / employment counsel</v>
      </c>
      <c r="G1258" s="20" t="n">
        <f aca="false">Monthly!AL$43</f>
        <v>5000</v>
      </c>
      <c r="H1258" s="24" t="str">
        <f aca="false">ScenarioName</f>
        <v>Base</v>
      </c>
    </row>
    <row r="1259" customFormat="false" ht="15" hidden="false" customHeight="false" outlineLevel="0" collapsed="false">
      <c r="A1259" s="8" t="n">
        <v>34</v>
      </c>
      <c r="B1259" s="39" t="n">
        <f aca="false">EDATE(StartDate,A1259-1)</f>
        <v>47392</v>
      </c>
      <c r="C1259" s="24" t="str">
        <f aca="false">Monthly!$B$43</f>
        <v>EnergyWave, Inc.</v>
      </c>
      <c r="D1259" s="24" t="str">
        <f aca="false">Monthly!$C$43</f>
        <v>Legal</v>
      </c>
      <c r="E1259" s="24" t="str">
        <f aca="false">Monthly!$D$43</f>
        <v>Corporate</v>
      </c>
      <c r="F1259" s="24" t="str">
        <f aca="false">Monthly!$A$43</f>
        <v>Ongoing corporate / employment counsel</v>
      </c>
      <c r="G1259" s="20" t="n">
        <f aca="false">Monthly!AM$43</f>
        <v>5000</v>
      </c>
      <c r="H1259" s="24" t="str">
        <f aca="false">ScenarioName</f>
        <v>Base</v>
      </c>
    </row>
    <row r="1260" customFormat="false" ht="15" hidden="false" customHeight="false" outlineLevel="0" collapsed="false">
      <c r="A1260" s="8" t="n">
        <v>35</v>
      </c>
      <c r="B1260" s="39" t="n">
        <f aca="false">EDATE(StartDate,A1260-1)</f>
        <v>47423</v>
      </c>
      <c r="C1260" s="24" t="str">
        <f aca="false">Monthly!$B$43</f>
        <v>EnergyWave, Inc.</v>
      </c>
      <c r="D1260" s="24" t="str">
        <f aca="false">Monthly!$C$43</f>
        <v>Legal</v>
      </c>
      <c r="E1260" s="24" t="str">
        <f aca="false">Monthly!$D$43</f>
        <v>Corporate</v>
      </c>
      <c r="F1260" s="24" t="str">
        <f aca="false">Monthly!$A$43</f>
        <v>Ongoing corporate / employment counsel</v>
      </c>
      <c r="G1260" s="20" t="n">
        <f aca="false">Monthly!AN$43</f>
        <v>5000</v>
      </c>
      <c r="H1260" s="24" t="str">
        <f aca="false">ScenarioName</f>
        <v>Base</v>
      </c>
    </row>
    <row r="1261" customFormat="false" ht="15" hidden="false" customHeight="false" outlineLevel="0" collapsed="false">
      <c r="A1261" s="8" t="n">
        <v>36</v>
      </c>
      <c r="B1261" s="39" t="n">
        <f aca="false">EDATE(StartDate,A1261-1)</f>
        <v>47453</v>
      </c>
      <c r="C1261" s="24" t="str">
        <f aca="false">Monthly!$B$43</f>
        <v>EnergyWave, Inc.</v>
      </c>
      <c r="D1261" s="24" t="str">
        <f aca="false">Monthly!$C$43</f>
        <v>Legal</v>
      </c>
      <c r="E1261" s="24" t="str">
        <f aca="false">Monthly!$D$43</f>
        <v>Corporate</v>
      </c>
      <c r="F1261" s="24" t="str">
        <f aca="false">Monthly!$A$43</f>
        <v>Ongoing corporate / employment counsel</v>
      </c>
      <c r="G1261" s="20" t="n">
        <f aca="false">Monthly!AO$43</f>
        <v>5000</v>
      </c>
      <c r="H1261" s="24" t="str">
        <f aca="false">ScenarioName</f>
        <v>Base</v>
      </c>
    </row>
    <row r="1262" customFormat="false" ht="15" hidden="false" customHeight="false" outlineLevel="0" collapsed="false">
      <c r="A1262" s="8" t="n">
        <v>1</v>
      </c>
      <c r="B1262" s="39" t="n">
        <f aca="false">EDATE(StartDate,A1262-1)</f>
        <v>46388</v>
      </c>
      <c r="C1262" s="24" t="str">
        <f aca="false">Monthly!$B$44</f>
        <v>EnergyWave, Inc.</v>
      </c>
      <c r="D1262" s="24" t="str">
        <f aca="false">Monthly!$C$44</f>
        <v>Finance</v>
      </c>
      <c r="E1262" s="24" t="str">
        <f aca="false">Monthly!$D$44</f>
        <v>Outsourced finance</v>
      </c>
      <c r="F1262" s="24" t="str">
        <f aca="false">Monthly!$A$44</f>
        <v>Outsourced finance (E57 or equivalent) — build phase</v>
      </c>
      <c r="G1262" s="20" t="n">
        <f aca="false">Monthly!F$44</f>
        <v>25000</v>
      </c>
      <c r="H1262" s="24" t="str">
        <f aca="false">ScenarioName</f>
        <v>Base</v>
      </c>
    </row>
    <row r="1263" customFormat="false" ht="15" hidden="false" customHeight="false" outlineLevel="0" collapsed="false">
      <c r="A1263" s="8" t="n">
        <v>2</v>
      </c>
      <c r="B1263" s="39" t="n">
        <f aca="false">EDATE(StartDate,A1263-1)</f>
        <v>46419</v>
      </c>
      <c r="C1263" s="24" t="str">
        <f aca="false">Monthly!$B$44</f>
        <v>EnergyWave, Inc.</v>
      </c>
      <c r="D1263" s="24" t="str">
        <f aca="false">Monthly!$C$44</f>
        <v>Finance</v>
      </c>
      <c r="E1263" s="24" t="str">
        <f aca="false">Monthly!$D$44</f>
        <v>Outsourced finance</v>
      </c>
      <c r="F1263" s="24" t="str">
        <f aca="false">Monthly!$A$44</f>
        <v>Outsourced finance (E57 or equivalent) — build phase</v>
      </c>
      <c r="G1263" s="20" t="n">
        <f aca="false">Monthly!G$44</f>
        <v>25000</v>
      </c>
      <c r="H1263" s="24" t="str">
        <f aca="false">ScenarioName</f>
        <v>Base</v>
      </c>
    </row>
    <row r="1264" customFormat="false" ht="15" hidden="false" customHeight="false" outlineLevel="0" collapsed="false">
      <c r="A1264" s="8" t="n">
        <v>3</v>
      </c>
      <c r="B1264" s="39" t="n">
        <f aca="false">EDATE(StartDate,A1264-1)</f>
        <v>46447</v>
      </c>
      <c r="C1264" s="24" t="str">
        <f aca="false">Monthly!$B$44</f>
        <v>EnergyWave, Inc.</v>
      </c>
      <c r="D1264" s="24" t="str">
        <f aca="false">Monthly!$C$44</f>
        <v>Finance</v>
      </c>
      <c r="E1264" s="24" t="str">
        <f aca="false">Monthly!$D$44</f>
        <v>Outsourced finance</v>
      </c>
      <c r="F1264" s="24" t="str">
        <f aca="false">Monthly!$A$44</f>
        <v>Outsourced finance (E57 or equivalent) — build phase</v>
      </c>
      <c r="G1264" s="20" t="n">
        <f aca="false">Monthly!H$44</f>
        <v>25000</v>
      </c>
      <c r="H1264" s="24" t="str">
        <f aca="false">ScenarioName</f>
        <v>Base</v>
      </c>
    </row>
    <row r="1265" customFormat="false" ht="15" hidden="false" customHeight="false" outlineLevel="0" collapsed="false">
      <c r="A1265" s="8" t="n">
        <v>4</v>
      </c>
      <c r="B1265" s="39" t="n">
        <f aca="false">EDATE(StartDate,A1265-1)</f>
        <v>46478</v>
      </c>
      <c r="C1265" s="24" t="str">
        <f aca="false">Monthly!$B$44</f>
        <v>EnergyWave, Inc.</v>
      </c>
      <c r="D1265" s="24" t="str">
        <f aca="false">Monthly!$C$44</f>
        <v>Finance</v>
      </c>
      <c r="E1265" s="24" t="str">
        <f aca="false">Monthly!$D$44</f>
        <v>Outsourced finance</v>
      </c>
      <c r="F1265" s="24" t="str">
        <f aca="false">Monthly!$A$44</f>
        <v>Outsourced finance (E57 or equivalent) — build phase</v>
      </c>
      <c r="G1265" s="20" t="n">
        <f aca="false">Monthly!I$44</f>
        <v>25000</v>
      </c>
      <c r="H1265" s="24" t="str">
        <f aca="false">ScenarioName</f>
        <v>Base</v>
      </c>
    </row>
    <row r="1266" customFormat="false" ht="15" hidden="false" customHeight="false" outlineLevel="0" collapsed="false">
      <c r="A1266" s="8" t="n">
        <v>5</v>
      </c>
      <c r="B1266" s="39" t="n">
        <f aca="false">EDATE(StartDate,A1266-1)</f>
        <v>46508</v>
      </c>
      <c r="C1266" s="24" t="str">
        <f aca="false">Monthly!$B$44</f>
        <v>EnergyWave, Inc.</v>
      </c>
      <c r="D1266" s="24" t="str">
        <f aca="false">Monthly!$C$44</f>
        <v>Finance</v>
      </c>
      <c r="E1266" s="24" t="str">
        <f aca="false">Monthly!$D$44</f>
        <v>Outsourced finance</v>
      </c>
      <c r="F1266" s="24" t="str">
        <f aca="false">Monthly!$A$44</f>
        <v>Outsourced finance (E57 or equivalent) — build phase</v>
      </c>
      <c r="G1266" s="20" t="n">
        <f aca="false">Monthly!J$44</f>
        <v>25000</v>
      </c>
      <c r="H1266" s="24" t="str">
        <f aca="false">ScenarioName</f>
        <v>Base</v>
      </c>
    </row>
    <row r="1267" customFormat="false" ht="15" hidden="false" customHeight="false" outlineLevel="0" collapsed="false">
      <c r="A1267" s="8" t="n">
        <v>6</v>
      </c>
      <c r="B1267" s="39" t="n">
        <f aca="false">EDATE(StartDate,A1267-1)</f>
        <v>46539</v>
      </c>
      <c r="C1267" s="24" t="str">
        <f aca="false">Monthly!$B$44</f>
        <v>EnergyWave, Inc.</v>
      </c>
      <c r="D1267" s="24" t="str">
        <f aca="false">Monthly!$C$44</f>
        <v>Finance</v>
      </c>
      <c r="E1267" s="24" t="str">
        <f aca="false">Monthly!$D$44</f>
        <v>Outsourced finance</v>
      </c>
      <c r="F1267" s="24" t="str">
        <f aca="false">Monthly!$A$44</f>
        <v>Outsourced finance (E57 or equivalent) — build phase</v>
      </c>
      <c r="G1267" s="20" t="n">
        <f aca="false">Monthly!K$44</f>
        <v>25000</v>
      </c>
      <c r="H1267" s="24" t="str">
        <f aca="false">ScenarioName</f>
        <v>Base</v>
      </c>
    </row>
    <row r="1268" customFormat="false" ht="15" hidden="false" customHeight="false" outlineLevel="0" collapsed="false">
      <c r="A1268" s="8" t="n">
        <v>7</v>
      </c>
      <c r="B1268" s="39" t="n">
        <f aca="false">EDATE(StartDate,A1268-1)</f>
        <v>46569</v>
      </c>
      <c r="C1268" s="24" t="str">
        <f aca="false">Monthly!$B$44</f>
        <v>EnergyWave, Inc.</v>
      </c>
      <c r="D1268" s="24" t="str">
        <f aca="false">Monthly!$C$44</f>
        <v>Finance</v>
      </c>
      <c r="E1268" s="24" t="str">
        <f aca="false">Monthly!$D$44</f>
        <v>Outsourced finance</v>
      </c>
      <c r="F1268" s="24" t="str">
        <f aca="false">Monthly!$A$44</f>
        <v>Outsourced finance (E57 or equivalent) — build phase</v>
      </c>
      <c r="G1268" s="20" t="n">
        <f aca="false">Monthly!L$44</f>
        <v>0</v>
      </c>
      <c r="H1268" s="24" t="str">
        <f aca="false">ScenarioName</f>
        <v>Base</v>
      </c>
    </row>
    <row r="1269" customFormat="false" ht="15" hidden="false" customHeight="false" outlineLevel="0" collapsed="false">
      <c r="A1269" s="8" t="n">
        <v>8</v>
      </c>
      <c r="B1269" s="39" t="n">
        <f aca="false">EDATE(StartDate,A1269-1)</f>
        <v>46600</v>
      </c>
      <c r="C1269" s="24" t="str">
        <f aca="false">Monthly!$B$44</f>
        <v>EnergyWave, Inc.</v>
      </c>
      <c r="D1269" s="24" t="str">
        <f aca="false">Monthly!$C$44</f>
        <v>Finance</v>
      </c>
      <c r="E1269" s="24" t="str">
        <f aca="false">Monthly!$D$44</f>
        <v>Outsourced finance</v>
      </c>
      <c r="F1269" s="24" t="str">
        <f aca="false">Monthly!$A$44</f>
        <v>Outsourced finance (E57 or equivalent) — build phase</v>
      </c>
      <c r="G1269" s="20" t="n">
        <f aca="false">Monthly!M$44</f>
        <v>0</v>
      </c>
      <c r="H1269" s="24" t="str">
        <f aca="false">ScenarioName</f>
        <v>Base</v>
      </c>
    </row>
    <row r="1270" customFormat="false" ht="15" hidden="false" customHeight="false" outlineLevel="0" collapsed="false">
      <c r="A1270" s="8" t="n">
        <v>9</v>
      </c>
      <c r="B1270" s="39" t="n">
        <f aca="false">EDATE(StartDate,A1270-1)</f>
        <v>46631</v>
      </c>
      <c r="C1270" s="24" t="str">
        <f aca="false">Monthly!$B$44</f>
        <v>EnergyWave, Inc.</v>
      </c>
      <c r="D1270" s="24" t="str">
        <f aca="false">Monthly!$C$44</f>
        <v>Finance</v>
      </c>
      <c r="E1270" s="24" t="str">
        <f aca="false">Monthly!$D$44</f>
        <v>Outsourced finance</v>
      </c>
      <c r="F1270" s="24" t="str">
        <f aca="false">Monthly!$A$44</f>
        <v>Outsourced finance (E57 or equivalent) — build phase</v>
      </c>
      <c r="G1270" s="20" t="n">
        <f aca="false">Monthly!N$44</f>
        <v>0</v>
      </c>
      <c r="H1270" s="24" t="str">
        <f aca="false">ScenarioName</f>
        <v>Base</v>
      </c>
    </row>
    <row r="1271" customFormat="false" ht="15" hidden="false" customHeight="false" outlineLevel="0" collapsed="false">
      <c r="A1271" s="8" t="n">
        <v>10</v>
      </c>
      <c r="B1271" s="39" t="n">
        <f aca="false">EDATE(StartDate,A1271-1)</f>
        <v>46661</v>
      </c>
      <c r="C1271" s="24" t="str">
        <f aca="false">Monthly!$B$44</f>
        <v>EnergyWave, Inc.</v>
      </c>
      <c r="D1271" s="24" t="str">
        <f aca="false">Monthly!$C$44</f>
        <v>Finance</v>
      </c>
      <c r="E1271" s="24" t="str">
        <f aca="false">Monthly!$D$44</f>
        <v>Outsourced finance</v>
      </c>
      <c r="F1271" s="24" t="str">
        <f aca="false">Monthly!$A$44</f>
        <v>Outsourced finance (E57 or equivalent) — build phase</v>
      </c>
      <c r="G1271" s="20" t="n">
        <f aca="false">Monthly!O$44</f>
        <v>0</v>
      </c>
      <c r="H1271" s="24" t="str">
        <f aca="false">ScenarioName</f>
        <v>Base</v>
      </c>
    </row>
    <row r="1272" customFormat="false" ht="15" hidden="false" customHeight="false" outlineLevel="0" collapsed="false">
      <c r="A1272" s="8" t="n">
        <v>11</v>
      </c>
      <c r="B1272" s="39" t="n">
        <f aca="false">EDATE(StartDate,A1272-1)</f>
        <v>46692</v>
      </c>
      <c r="C1272" s="24" t="str">
        <f aca="false">Monthly!$B$44</f>
        <v>EnergyWave, Inc.</v>
      </c>
      <c r="D1272" s="24" t="str">
        <f aca="false">Monthly!$C$44</f>
        <v>Finance</v>
      </c>
      <c r="E1272" s="24" t="str">
        <f aca="false">Monthly!$D$44</f>
        <v>Outsourced finance</v>
      </c>
      <c r="F1272" s="24" t="str">
        <f aca="false">Monthly!$A$44</f>
        <v>Outsourced finance (E57 or equivalent) — build phase</v>
      </c>
      <c r="G1272" s="20" t="n">
        <f aca="false">Monthly!P$44</f>
        <v>0</v>
      </c>
      <c r="H1272" s="24" t="str">
        <f aca="false">ScenarioName</f>
        <v>Base</v>
      </c>
    </row>
    <row r="1273" customFormat="false" ht="15" hidden="false" customHeight="false" outlineLevel="0" collapsed="false">
      <c r="A1273" s="8" t="n">
        <v>12</v>
      </c>
      <c r="B1273" s="39" t="n">
        <f aca="false">EDATE(StartDate,A1273-1)</f>
        <v>46722</v>
      </c>
      <c r="C1273" s="24" t="str">
        <f aca="false">Monthly!$B$44</f>
        <v>EnergyWave, Inc.</v>
      </c>
      <c r="D1273" s="24" t="str">
        <f aca="false">Monthly!$C$44</f>
        <v>Finance</v>
      </c>
      <c r="E1273" s="24" t="str">
        <f aca="false">Monthly!$D$44</f>
        <v>Outsourced finance</v>
      </c>
      <c r="F1273" s="24" t="str">
        <f aca="false">Monthly!$A$44</f>
        <v>Outsourced finance (E57 or equivalent) — build phase</v>
      </c>
      <c r="G1273" s="20" t="n">
        <f aca="false">Monthly!Q$44</f>
        <v>0</v>
      </c>
      <c r="H1273" s="24" t="str">
        <f aca="false">ScenarioName</f>
        <v>Base</v>
      </c>
    </row>
    <row r="1274" customFormat="false" ht="15" hidden="false" customHeight="false" outlineLevel="0" collapsed="false">
      <c r="A1274" s="8" t="n">
        <v>13</v>
      </c>
      <c r="B1274" s="39" t="n">
        <f aca="false">EDATE(StartDate,A1274-1)</f>
        <v>46753</v>
      </c>
      <c r="C1274" s="24" t="str">
        <f aca="false">Monthly!$B$44</f>
        <v>EnergyWave, Inc.</v>
      </c>
      <c r="D1274" s="24" t="str">
        <f aca="false">Monthly!$C$44</f>
        <v>Finance</v>
      </c>
      <c r="E1274" s="24" t="str">
        <f aca="false">Monthly!$D$44</f>
        <v>Outsourced finance</v>
      </c>
      <c r="F1274" s="24" t="str">
        <f aca="false">Monthly!$A$44</f>
        <v>Outsourced finance (E57 or equivalent) — build phase</v>
      </c>
      <c r="G1274" s="20" t="n">
        <f aca="false">Monthly!R$44</f>
        <v>0</v>
      </c>
      <c r="H1274" s="24" t="str">
        <f aca="false">ScenarioName</f>
        <v>Base</v>
      </c>
    </row>
    <row r="1275" customFormat="false" ht="15" hidden="false" customHeight="false" outlineLevel="0" collapsed="false">
      <c r="A1275" s="8" t="n">
        <v>14</v>
      </c>
      <c r="B1275" s="39" t="n">
        <f aca="false">EDATE(StartDate,A1275-1)</f>
        <v>46784</v>
      </c>
      <c r="C1275" s="24" t="str">
        <f aca="false">Monthly!$B$44</f>
        <v>EnergyWave, Inc.</v>
      </c>
      <c r="D1275" s="24" t="str">
        <f aca="false">Monthly!$C$44</f>
        <v>Finance</v>
      </c>
      <c r="E1275" s="24" t="str">
        <f aca="false">Monthly!$D$44</f>
        <v>Outsourced finance</v>
      </c>
      <c r="F1275" s="24" t="str">
        <f aca="false">Monthly!$A$44</f>
        <v>Outsourced finance (E57 or equivalent) — build phase</v>
      </c>
      <c r="G1275" s="20" t="n">
        <f aca="false">Monthly!S$44</f>
        <v>0</v>
      </c>
      <c r="H1275" s="24" t="str">
        <f aca="false">ScenarioName</f>
        <v>Base</v>
      </c>
    </row>
    <row r="1276" customFormat="false" ht="15" hidden="false" customHeight="false" outlineLevel="0" collapsed="false">
      <c r="A1276" s="8" t="n">
        <v>15</v>
      </c>
      <c r="B1276" s="39" t="n">
        <f aca="false">EDATE(StartDate,A1276-1)</f>
        <v>46813</v>
      </c>
      <c r="C1276" s="24" t="str">
        <f aca="false">Monthly!$B$44</f>
        <v>EnergyWave, Inc.</v>
      </c>
      <c r="D1276" s="24" t="str">
        <f aca="false">Monthly!$C$44</f>
        <v>Finance</v>
      </c>
      <c r="E1276" s="24" t="str">
        <f aca="false">Monthly!$D$44</f>
        <v>Outsourced finance</v>
      </c>
      <c r="F1276" s="24" t="str">
        <f aca="false">Monthly!$A$44</f>
        <v>Outsourced finance (E57 or equivalent) — build phase</v>
      </c>
      <c r="G1276" s="20" t="n">
        <f aca="false">Monthly!T$44</f>
        <v>0</v>
      </c>
      <c r="H1276" s="24" t="str">
        <f aca="false">ScenarioName</f>
        <v>Base</v>
      </c>
    </row>
    <row r="1277" customFormat="false" ht="15" hidden="false" customHeight="false" outlineLevel="0" collapsed="false">
      <c r="A1277" s="8" t="n">
        <v>16</v>
      </c>
      <c r="B1277" s="39" t="n">
        <f aca="false">EDATE(StartDate,A1277-1)</f>
        <v>46844</v>
      </c>
      <c r="C1277" s="24" t="str">
        <f aca="false">Monthly!$B$44</f>
        <v>EnergyWave, Inc.</v>
      </c>
      <c r="D1277" s="24" t="str">
        <f aca="false">Monthly!$C$44</f>
        <v>Finance</v>
      </c>
      <c r="E1277" s="24" t="str">
        <f aca="false">Monthly!$D$44</f>
        <v>Outsourced finance</v>
      </c>
      <c r="F1277" s="24" t="str">
        <f aca="false">Monthly!$A$44</f>
        <v>Outsourced finance (E57 or equivalent) — build phase</v>
      </c>
      <c r="G1277" s="20" t="n">
        <f aca="false">Monthly!U$44</f>
        <v>0</v>
      </c>
      <c r="H1277" s="24" t="str">
        <f aca="false">ScenarioName</f>
        <v>Base</v>
      </c>
    </row>
    <row r="1278" customFormat="false" ht="15" hidden="false" customHeight="false" outlineLevel="0" collapsed="false">
      <c r="A1278" s="8" t="n">
        <v>17</v>
      </c>
      <c r="B1278" s="39" t="n">
        <f aca="false">EDATE(StartDate,A1278-1)</f>
        <v>46874</v>
      </c>
      <c r="C1278" s="24" t="str">
        <f aca="false">Monthly!$B$44</f>
        <v>EnergyWave, Inc.</v>
      </c>
      <c r="D1278" s="24" t="str">
        <f aca="false">Monthly!$C$44</f>
        <v>Finance</v>
      </c>
      <c r="E1278" s="24" t="str">
        <f aca="false">Monthly!$D$44</f>
        <v>Outsourced finance</v>
      </c>
      <c r="F1278" s="24" t="str">
        <f aca="false">Monthly!$A$44</f>
        <v>Outsourced finance (E57 or equivalent) — build phase</v>
      </c>
      <c r="G1278" s="20" t="n">
        <f aca="false">Monthly!V$44</f>
        <v>0</v>
      </c>
      <c r="H1278" s="24" t="str">
        <f aca="false">ScenarioName</f>
        <v>Base</v>
      </c>
    </row>
    <row r="1279" customFormat="false" ht="15" hidden="false" customHeight="false" outlineLevel="0" collapsed="false">
      <c r="A1279" s="8" t="n">
        <v>18</v>
      </c>
      <c r="B1279" s="39" t="n">
        <f aca="false">EDATE(StartDate,A1279-1)</f>
        <v>46905</v>
      </c>
      <c r="C1279" s="24" t="str">
        <f aca="false">Monthly!$B$44</f>
        <v>EnergyWave, Inc.</v>
      </c>
      <c r="D1279" s="24" t="str">
        <f aca="false">Monthly!$C$44</f>
        <v>Finance</v>
      </c>
      <c r="E1279" s="24" t="str">
        <f aca="false">Monthly!$D$44</f>
        <v>Outsourced finance</v>
      </c>
      <c r="F1279" s="24" t="str">
        <f aca="false">Monthly!$A$44</f>
        <v>Outsourced finance (E57 or equivalent) — build phase</v>
      </c>
      <c r="G1279" s="20" t="n">
        <f aca="false">Monthly!W$44</f>
        <v>0</v>
      </c>
      <c r="H1279" s="24" t="str">
        <f aca="false">ScenarioName</f>
        <v>Base</v>
      </c>
    </row>
    <row r="1280" customFormat="false" ht="15" hidden="false" customHeight="false" outlineLevel="0" collapsed="false">
      <c r="A1280" s="8" t="n">
        <v>19</v>
      </c>
      <c r="B1280" s="39" t="n">
        <f aca="false">EDATE(StartDate,A1280-1)</f>
        <v>46935</v>
      </c>
      <c r="C1280" s="24" t="str">
        <f aca="false">Monthly!$B$44</f>
        <v>EnergyWave, Inc.</v>
      </c>
      <c r="D1280" s="24" t="str">
        <f aca="false">Monthly!$C$44</f>
        <v>Finance</v>
      </c>
      <c r="E1280" s="24" t="str">
        <f aca="false">Monthly!$D$44</f>
        <v>Outsourced finance</v>
      </c>
      <c r="F1280" s="24" t="str">
        <f aca="false">Monthly!$A$44</f>
        <v>Outsourced finance (E57 or equivalent) — build phase</v>
      </c>
      <c r="G1280" s="20" t="n">
        <f aca="false">Monthly!X$44</f>
        <v>0</v>
      </c>
      <c r="H1280" s="24" t="str">
        <f aca="false">ScenarioName</f>
        <v>Base</v>
      </c>
    </row>
    <row r="1281" customFormat="false" ht="15" hidden="false" customHeight="false" outlineLevel="0" collapsed="false">
      <c r="A1281" s="8" t="n">
        <v>20</v>
      </c>
      <c r="B1281" s="39" t="n">
        <f aca="false">EDATE(StartDate,A1281-1)</f>
        <v>46966</v>
      </c>
      <c r="C1281" s="24" t="str">
        <f aca="false">Monthly!$B$44</f>
        <v>EnergyWave, Inc.</v>
      </c>
      <c r="D1281" s="24" t="str">
        <f aca="false">Monthly!$C$44</f>
        <v>Finance</v>
      </c>
      <c r="E1281" s="24" t="str">
        <f aca="false">Monthly!$D$44</f>
        <v>Outsourced finance</v>
      </c>
      <c r="F1281" s="24" t="str">
        <f aca="false">Monthly!$A$44</f>
        <v>Outsourced finance (E57 or equivalent) — build phase</v>
      </c>
      <c r="G1281" s="20" t="n">
        <f aca="false">Monthly!Y$44</f>
        <v>0</v>
      </c>
      <c r="H1281" s="24" t="str">
        <f aca="false">ScenarioName</f>
        <v>Base</v>
      </c>
    </row>
    <row r="1282" customFormat="false" ht="15" hidden="false" customHeight="false" outlineLevel="0" collapsed="false">
      <c r="A1282" s="8" t="n">
        <v>21</v>
      </c>
      <c r="B1282" s="39" t="n">
        <f aca="false">EDATE(StartDate,A1282-1)</f>
        <v>46997</v>
      </c>
      <c r="C1282" s="24" t="str">
        <f aca="false">Monthly!$B$44</f>
        <v>EnergyWave, Inc.</v>
      </c>
      <c r="D1282" s="24" t="str">
        <f aca="false">Monthly!$C$44</f>
        <v>Finance</v>
      </c>
      <c r="E1282" s="24" t="str">
        <f aca="false">Monthly!$D$44</f>
        <v>Outsourced finance</v>
      </c>
      <c r="F1282" s="24" t="str">
        <f aca="false">Monthly!$A$44</f>
        <v>Outsourced finance (E57 or equivalent) — build phase</v>
      </c>
      <c r="G1282" s="20" t="n">
        <f aca="false">Monthly!Z$44</f>
        <v>0</v>
      </c>
      <c r="H1282" s="24" t="str">
        <f aca="false">ScenarioName</f>
        <v>Base</v>
      </c>
    </row>
    <row r="1283" customFormat="false" ht="15" hidden="false" customHeight="false" outlineLevel="0" collapsed="false">
      <c r="A1283" s="8" t="n">
        <v>22</v>
      </c>
      <c r="B1283" s="39" t="n">
        <f aca="false">EDATE(StartDate,A1283-1)</f>
        <v>47027</v>
      </c>
      <c r="C1283" s="24" t="str">
        <f aca="false">Monthly!$B$44</f>
        <v>EnergyWave, Inc.</v>
      </c>
      <c r="D1283" s="24" t="str">
        <f aca="false">Monthly!$C$44</f>
        <v>Finance</v>
      </c>
      <c r="E1283" s="24" t="str">
        <f aca="false">Monthly!$D$44</f>
        <v>Outsourced finance</v>
      </c>
      <c r="F1283" s="24" t="str">
        <f aca="false">Monthly!$A$44</f>
        <v>Outsourced finance (E57 or equivalent) — build phase</v>
      </c>
      <c r="G1283" s="20" t="n">
        <f aca="false">Monthly!AA$44</f>
        <v>0</v>
      </c>
      <c r="H1283" s="24" t="str">
        <f aca="false">ScenarioName</f>
        <v>Base</v>
      </c>
    </row>
    <row r="1284" customFormat="false" ht="15" hidden="false" customHeight="false" outlineLevel="0" collapsed="false">
      <c r="A1284" s="8" t="n">
        <v>23</v>
      </c>
      <c r="B1284" s="39" t="n">
        <f aca="false">EDATE(StartDate,A1284-1)</f>
        <v>47058</v>
      </c>
      <c r="C1284" s="24" t="str">
        <f aca="false">Monthly!$B$44</f>
        <v>EnergyWave, Inc.</v>
      </c>
      <c r="D1284" s="24" t="str">
        <f aca="false">Monthly!$C$44</f>
        <v>Finance</v>
      </c>
      <c r="E1284" s="24" t="str">
        <f aca="false">Monthly!$D$44</f>
        <v>Outsourced finance</v>
      </c>
      <c r="F1284" s="24" t="str">
        <f aca="false">Monthly!$A$44</f>
        <v>Outsourced finance (E57 or equivalent) — build phase</v>
      </c>
      <c r="G1284" s="20" t="n">
        <f aca="false">Monthly!AB$44</f>
        <v>0</v>
      </c>
      <c r="H1284" s="24" t="str">
        <f aca="false">ScenarioName</f>
        <v>Base</v>
      </c>
    </row>
    <row r="1285" customFormat="false" ht="15" hidden="false" customHeight="false" outlineLevel="0" collapsed="false">
      <c r="A1285" s="8" t="n">
        <v>24</v>
      </c>
      <c r="B1285" s="39" t="n">
        <f aca="false">EDATE(StartDate,A1285-1)</f>
        <v>47088</v>
      </c>
      <c r="C1285" s="24" t="str">
        <f aca="false">Monthly!$B$44</f>
        <v>EnergyWave, Inc.</v>
      </c>
      <c r="D1285" s="24" t="str">
        <f aca="false">Monthly!$C$44</f>
        <v>Finance</v>
      </c>
      <c r="E1285" s="24" t="str">
        <f aca="false">Monthly!$D$44</f>
        <v>Outsourced finance</v>
      </c>
      <c r="F1285" s="24" t="str">
        <f aca="false">Monthly!$A$44</f>
        <v>Outsourced finance (E57 or equivalent) — build phase</v>
      </c>
      <c r="G1285" s="20" t="n">
        <f aca="false">Monthly!AC$44</f>
        <v>0</v>
      </c>
      <c r="H1285" s="24" t="str">
        <f aca="false">ScenarioName</f>
        <v>Base</v>
      </c>
    </row>
    <row r="1286" customFormat="false" ht="15" hidden="false" customHeight="false" outlineLevel="0" collapsed="false">
      <c r="A1286" s="8" t="n">
        <v>25</v>
      </c>
      <c r="B1286" s="39" t="n">
        <f aca="false">EDATE(StartDate,A1286-1)</f>
        <v>47119</v>
      </c>
      <c r="C1286" s="24" t="str">
        <f aca="false">Monthly!$B$44</f>
        <v>EnergyWave, Inc.</v>
      </c>
      <c r="D1286" s="24" t="str">
        <f aca="false">Monthly!$C$44</f>
        <v>Finance</v>
      </c>
      <c r="E1286" s="24" t="str">
        <f aca="false">Monthly!$D$44</f>
        <v>Outsourced finance</v>
      </c>
      <c r="F1286" s="24" t="str">
        <f aca="false">Monthly!$A$44</f>
        <v>Outsourced finance (E57 or equivalent) — build phase</v>
      </c>
      <c r="G1286" s="20" t="n">
        <f aca="false">Monthly!AD$44</f>
        <v>0</v>
      </c>
      <c r="H1286" s="24" t="str">
        <f aca="false">ScenarioName</f>
        <v>Base</v>
      </c>
    </row>
    <row r="1287" customFormat="false" ht="15" hidden="false" customHeight="false" outlineLevel="0" collapsed="false">
      <c r="A1287" s="8" t="n">
        <v>26</v>
      </c>
      <c r="B1287" s="39" t="n">
        <f aca="false">EDATE(StartDate,A1287-1)</f>
        <v>47150</v>
      </c>
      <c r="C1287" s="24" t="str">
        <f aca="false">Monthly!$B$44</f>
        <v>EnergyWave, Inc.</v>
      </c>
      <c r="D1287" s="24" t="str">
        <f aca="false">Monthly!$C$44</f>
        <v>Finance</v>
      </c>
      <c r="E1287" s="24" t="str">
        <f aca="false">Monthly!$D$44</f>
        <v>Outsourced finance</v>
      </c>
      <c r="F1287" s="24" t="str">
        <f aca="false">Monthly!$A$44</f>
        <v>Outsourced finance (E57 or equivalent) — build phase</v>
      </c>
      <c r="G1287" s="20" t="n">
        <f aca="false">Monthly!AE$44</f>
        <v>0</v>
      </c>
      <c r="H1287" s="24" t="str">
        <f aca="false">ScenarioName</f>
        <v>Base</v>
      </c>
    </row>
    <row r="1288" customFormat="false" ht="15" hidden="false" customHeight="false" outlineLevel="0" collapsed="false">
      <c r="A1288" s="8" t="n">
        <v>27</v>
      </c>
      <c r="B1288" s="39" t="n">
        <f aca="false">EDATE(StartDate,A1288-1)</f>
        <v>47178</v>
      </c>
      <c r="C1288" s="24" t="str">
        <f aca="false">Monthly!$B$44</f>
        <v>EnergyWave, Inc.</v>
      </c>
      <c r="D1288" s="24" t="str">
        <f aca="false">Monthly!$C$44</f>
        <v>Finance</v>
      </c>
      <c r="E1288" s="24" t="str">
        <f aca="false">Monthly!$D$44</f>
        <v>Outsourced finance</v>
      </c>
      <c r="F1288" s="24" t="str">
        <f aca="false">Monthly!$A$44</f>
        <v>Outsourced finance (E57 or equivalent) — build phase</v>
      </c>
      <c r="G1288" s="20" t="n">
        <f aca="false">Monthly!AF$44</f>
        <v>0</v>
      </c>
      <c r="H1288" s="24" t="str">
        <f aca="false">ScenarioName</f>
        <v>Base</v>
      </c>
    </row>
    <row r="1289" customFormat="false" ht="15" hidden="false" customHeight="false" outlineLevel="0" collapsed="false">
      <c r="A1289" s="8" t="n">
        <v>28</v>
      </c>
      <c r="B1289" s="39" t="n">
        <f aca="false">EDATE(StartDate,A1289-1)</f>
        <v>47209</v>
      </c>
      <c r="C1289" s="24" t="str">
        <f aca="false">Monthly!$B$44</f>
        <v>EnergyWave, Inc.</v>
      </c>
      <c r="D1289" s="24" t="str">
        <f aca="false">Monthly!$C$44</f>
        <v>Finance</v>
      </c>
      <c r="E1289" s="24" t="str">
        <f aca="false">Monthly!$D$44</f>
        <v>Outsourced finance</v>
      </c>
      <c r="F1289" s="24" t="str">
        <f aca="false">Monthly!$A$44</f>
        <v>Outsourced finance (E57 or equivalent) — build phase</v>
      </c>
      <c r="G1289" s="20" t="n">
        <f aca="false">Monthly!AG$44</f>
        <v>0</v>
      </c>
      <c r="H1289" s="24" t="str">
        <f aca="false">ScenarioName</f>
        <v>Base</v>
      </c>
    </row>
    <row r="1290" customFormat="false" ht="15" hidden="false" customHeight="false" outlineLevel="0" collapsed="false">
      <c r="A1290" s="8" t="n">
        <v>29</v>
      </c>
      <c r="B1290" s="39" t="n">
        <f aca="false">EDATE(StartDate,A1290-1)</f>
        <v>47239</v>
      </c>
      <c r="C1290" s="24" t="str">
        <f aca="false">Monthly!$B$44</f>
        <v>EnergyWave, Inc.</v>
      </c>
      <c r="D1290" s="24" t="str">
        <f aca="false">Monthly!$C$44</f>
        <v>Finance</v>
      </c>
      <c r="E1290" s="24" t="str">
        <f aca="false">Monthly!$D$44</f>
        <v>Outsourced finance</v>
      </c>
      <c r="F1290" s="24" t="str">
        <f aca="false">Monthly!$A$44</f>
        <v>Outsourced finance (E57 or equivalent) — build phase</v>
      </c>
      <c r="G1290" s="20" t="n">
        <f aca="false">Monthly!AH$44</f>
        <v>0</v>
      </c>
      <c r="H1290" s="24" t="str">
        <f aca="false">ScenarioName</f>
        <v>Base</v>
      </c>
    </row>
    <row r="1291" customFormat="false" ht="15" hidden="false" customHeight="false" outlineLevel="0" collapsed="false">
      <c r="A1291" s="8" t="n">
        <v>30</v>
      </c>
      <c r="B1291" s="39" t="n">
        <f aca="false">EDATE(StartDate,A1291-1)</f>
        <v>47270</v>
      </c>
      <c r="C1291" s="24" t="str">
        <f aca="false">Monthly!$B$44</f>
        <v>EnergyWave, Inc.</v>
      </c>
      <c r="D1291" s="24" t="str">
        <f aca="false">Monthly!$C$44</f>
        <v>Finance</v>
      </c>
      <c r="E1291" s="24" t="str">
        <f aca="false">Monthly!$D$44</f>
        <v>Outsourced finance</v>
      </c>
      <c r="F1291" s="24" t="str">
        <f aca="false">Monthly!$A$44</f>
        <v>Outsourced finance (E57 or equivalent) — build phase</v>
      </c>
      <c r="G1291" s="20" t="n">
        <f aca="false">Monthly!AI$44</f>
        <v>0</v>
      </c>
      <c r="H1291" s="24" t="str">
        <f aca="false">ScenarioName</f>
        <v>Base</v>
      </c>
    </row>
    <row r="1292" customFormat="false" ht="15" hidden="false" customHeight="false" outlineLevel="0" collapsed="false">
      <c r="A1292" s="8" t="n">
        <v>31</v>
      </c>
      <c r="B1292" s="39" t="n">
        <f aca="false">EDATE(StartDate,A1292-1)</f>
        <v>47300</v>
      </c>
      <c r="C1292" s="24" t="str">
        <f aca="false">Monthly!$B$44</f>
        <v>EnergyWave, Inc.</v>
      </c>
      <c r="D1292" s="24" t="str">
        <f aca="false">Monthly!$C$44</f>
        <v>Finance</v>
      </c>
      <c r="E1292" s="24" t="str">
        <f aca="false">Monthly!$D$44</f>
        <v>Outsourced finance</v>
      </c>
      <c r="F1292" s="24" t="str">
        <f aca="false">Monthly!$A$44</f>
        <v>Outsourced finance (E57 or equivalent) — build phase</v>
      </c>
      <c r="G1292" s="20" t="n">
        <f aca="false">Monthly!AJ$44</f>
        <v>0</v>
      </c>
      <c r="H1292" s="24" t="str">
        <f aca="false">ScenarioName</f>
        <v>Base</v>
      </c>
    </row>
    <row r="1293" customFormat="false" ht="15" hidden="false" customHeight="false" outlineLevel="0" collapsed="false">
      <c r="A1293" s="8" t="n">
        <v>32</v>
      </c>
      <c r="B1293" s="39" t="n">
        <f aca="false">EDATE(StartDate,A1293-1)</f>
        <v>47331</v>
      </c>
      <c r="C1293" s="24" t="str">
        <f aca="false">Monthly!$B$44</f>
        <v>EnergyWave, Inc.</v>
      </c>
      <c r="D1293" s="24" t="str">
        <f aca="false">Monthly!$C$44</f>
        <v>Finance</v>
      </c>
      <c r="E1293" s="24" t="str">
        <f aca="false">Monthly!$D$44</f>
        <v>Outsourced finance</v>
      </c>
      <c r="F1293" s="24" t="str">
        <f aca="false">Monthly!$A$44</f>
        <v>Outsourced finance (E57 or equivalent) — build phase</v>
      </c>
      <c r="G1293" s="20" t="n">
        <f aca="false">Monthly!AK$44</f>
        <v>0</v>
      </c>
      <c r="H1293" s="24" t="str">
        <f aca="false">ScenarioName</f>
        <v>Base</v>
      </c>
    </row>
    <row r="1294" customFormat="false" ht="15" hidden="false" customHeight="false" outlineLevel="0" collapsed="false">
      <c r="A1294" s="8" t="n">
        <v>33</v>
      </c>
      <c r="B1294" s="39" t="n">
        <f aca="false">EDATE(StartDate,A1294-1)</f>
        <v>47362</v>
      </c>
      <c r="C1294" s="24" t="str">
        <f aca="false">Monthly!$B$44</f>
        <v>EnergyWave, Inc.</v>
      </c>
      <c r="D1294" s="24" t="str">
        <f aca="false">Monthly!$C$44</f>
        <v>Finance</v>
      </c>
      <c r="E1294" s="24" t="str">
        <f aca="false">Monthly!$D$44</f>
        <v>Outsourced finance</v>
      </c>
      <c r="F1294" s="24" t="str">
        <f aca="false">Monthly!$A$44</f>
        <v>Outsourced finance (E57 or equivalent) — build phase</v>
      </c>
      <c r="G1294" s="20" t="n">
        <f aca="false">Monthly!AL$44</f>
        <v>0</v>
      </c>
      <c r="H1294" s="24" t="str">
        <f aca="false">ScenarioName</f>
        <v>Base</v>
      </c>
    </row>
    <row r="1295" customFormat="false" ht="15" hidden="false" customHeight="false" outlineLevel="0" collapsed="false">
      <c r="A1295" s="8" t="n">
        <v>34</v>
      </c>
      <c r="B1295" s="39" t="n">
        <f aca="false">EDATE(StartDate,A1295-1)</f>
        <v>47392</v>
      </c>
      <c r="C1295" s="24" t="str">
        <f aca="false">Monthly!$B$44</f>
        <v>EnergyWave, Inc.</v>
      </c>
      <c r="D1295" s="24" t="str">
        <f aca="false">Monthly!$C$44</f>
        <v>Finance</v>
      </c>
      <c r="E1295" s="24" t="str">
        <f aca="false">Monthly!$D$44</f>
        <v>Outsourced finance</v>
      </c>
      <c r="F1295" s="24" t="str">
        <f aca="false">Monthly!$A$44</f>
        <v>Outsourced finance (E57 or equivalent) — build phase</v>
      </c>
      <c r="G1295" s="20" t="n">
        <f aca="false">Monthly!AM$44</f>
        <v>0</v>
      </c>
      <c r="H1295" s="24" t="str">
        <f aca="false">ScenarioName</f>
        <v>Base</v>
      </c>
    </row>
    <row r="1296" customFormat="false" ht="15" hidden="false" customHeight="false" outlineLevel="0" collapsed="false">
      <c r="A1296" s="8" t="n">
        <v>35</v>
      </c>
      <c r="B1296" s="39" t="n">
        <f aca="false">EDATE(StartDate,A1296-1)</f>
        <v>47423</v>
      </c>
      <c r="C1296" s="24" t="str">
        <f aca="false">Monthly!$B$44</f>
        <v>EnergyWave, Inc.</v>
      </c>
      <c r="D1296" s="24" t="str">
        <f aca="false">Monthly!$C$44</f>
        <v>Finance</v>
      </c>
      <c r="E1296" s="24" t="str">
        <f aca="false">Monthly!$D$44</f>
        <v>Outsourced finance</v>
      </c>
      <c r="F1296" s="24" t="str">
        <f aca="false">Monthly!$A$44</f>
        <v>Outsourced finance (E57 or equivalent) — build phase</v>
      </c>
      <c r="G1296" s="20" t="n">
        <f aca="false">Monthly!AN$44</f>
        <v>0</v>
      </c>
      <c r="H1296" s="24" t="str">
        <f aca="false">ScenarioName</f>
        <v>Base</v>
      </c>
    </row>
    <row r="1297" customFormat="false" ht="15" hidden="false" customHeight="false" outlineLevel="0" collapsed="false">
      <c r="A1297" s="8" t="n">
        <v>36</v>
      </c>
      <c r="B1297" s="39" t="n">
        <f aca="false">EDATE(StartDate,A1297-1)</f>
        <v>47453</v>
      </c>
      <c r="C1297" s="24" t="str">
        <f aca="false">Monthly!$B$44</f>
        <v>EnergyWave, Inc.</v>
      </c>
      <c r="D1297" s="24" t="str">
        <f aca="false">Monthly!$C$44</f>
        <v>Finance</v>
      </c>
      <c r="E1297" s="24" t="str">
        <f aca="false">Monthly!$D$44</f>
        <v>Outsourced finance</v>
      </c>
      <c r="F1297" s="24" t="str">
        <f aca="false">Monthly!$A$44</f>
        <v>Outsourced finance (E57 or equivalent) — build phase</v>
      </c>
      <c r="G1297" s="20" t="n">
        <f aca="false">Monthly!AO$44</f>
        <v>0</v>
      </c>
      <c r="H1297" s="24" t="str">
        <f aca="false">ScenarioName</f>
        <v>Base</v>
      </c>
    </row>
    <row r="1298" customFormat="false" ht="15" hidden="false" customHeight="false" outlineLevel="0" collapsed="false">
      <c r="A1298" s="8" t="n">
        <v>1</v>
      </c>
      <c r="B1298" s="39" t="n">
        <f aca="false">EDATE(StartDate,A1298-1)</f>
        <v>46388</v>
      </c>
      <c r="C1298" s="24" t="str">
        <f aca="false">Monthly!$B$45</f>
        <v>EnergyWave, Inc.</v>
      </c>
      <c r="D1298" s="24" t="str">
        <f aca="false">Monthly!$C$45</f>
        <v>Finance</v>
      </c>
      <c r="E1298" s="24" t="str">
        <f aca="false">Monthly!$D$45</f>
        <v>Outsourced finance</v>
      </c>
      <c r="F1298" s="24" t="str">
        <f aca="false">Monthly!$A$45</f>
        <v>Outsourced finance (E57 or equivalent) — maintenance</v>
      </c>
      <c r="G1298" s="20" t="n">
        <f aca="false">Monthly!F$45</f>
        <v>0</v>
      </c>
      <c r="H1298" s="24" t="str">
        <f aca="false">ScenarioName</f>
        <v>Base</v>
      </c>
    </row>
    <row r="1299" customFormat="false" ht="15" hidden="false" customHeight="false" outlineLevel="0" collapsed="false">
      <c r="A1299" s="8" t="n">
        <v>2</v>
      </c>
      <c r="B1299" s="39" t="n">
        <f aca="false">EDATE(StartDate,A1299-1)</f>
        <v>46419</v>
      </c>
      <c r="C1299" s="24" t="str">
        <f aca="false">Monthly!$B$45</f>
        <v>EnergyWave, Inc.</v>
      </c>
      <c r="D1299" s="24" t="str">
        <f aca="false">Monthly!$C$45</f>
        <v>Finance</v>
      </c>
      <c r="E1299" s="24" t="str">
        <f aca="false">Monthly!$D$45</f>
        <v>Outsourced finance</v>
      </c>
      <c r="F1299" s="24" t="str">
        <f aca="false">Monthly!$A$45</f>
        <v>Outsourced finance (E57 or equivalent) — maintenance</v>
      </c>
      <c r="G1299" s="20" t="n">
        <f aca="false">Monthly!G$45</f>
        <v>0</v>
      </c>
      <c r="H1299" s="24" t="str">
        <f aca="false">ScenarioName</f>
        <v>Base</v>
      </c>
    </row>
    <row r="1300" customFormat="false" ht="15" hidden="false" customHeight="false" outlineLevel="0" collapsed="false">
      <c r="A1300" s="8" t="n">
        <v>3</v>
      </c>
      <c r="B1300" s="39" t="n">
        <f aca="false">EDATE(StartDate,A1300-1)</f>
        <v>46447</v>
      </c>
      <c r="C1300" s="24" t="str">
        <f aca="false">Monthly!$B$45</f>
        <v>EnergyWave, Inc.</v>
      </c>
      <c r="D1300" s="24" t="str">
        <f aca="false">Monthly!$C$45</f>
        <v>Finance</v>
      </c>
      <c r="E1300" s="24" t="str">
        <f aca="false">Monthly!$D$45</f>
        <v>Outsourced finance</v>
      </c>
      <c r="F1300" s="24" t="str">
        <f aca="false">Monthly!$A$45</f>
        <v>Outsourced finance (E57 or equivalent) — maintenance</v>
      </c>
      <c r="G1300" s="20" t="n">
        <f aca="false">Monthly!H$45</f>
        <v>0</v>
      </c>
      <c r="H1300" s="24" t="str">
        <f aca="false">ScenarioName</f>
        <v>Base</v>
      </c>
    </row>
    <row r="1301" customFormat="false" ht="15" hidden="false" customHeight="false" outlineLevel="0" collapsed="false">
      <c r="A1301" s="8" t="n">
        <v>4</v>
      </c>
      <c r="B1301" s="39" t="n">
        <f aca="false">EDATE(StartDate,A1301-1)</f>
        <v>46478</v>
      </c>
      <c r="C1301" s="24" t="str">
        <f aca="false">Monthly!$B$45</f>
        <v>EnergyWave, Inc.</v>
      </c>
      <c r="D1301" s="24" t="str">
        <f aca="false">Monthly!$C$45</f>
        <v>Finance</v>
      </c>
      <c r="E1301" s="24" t="str">
        <f aca="false">Monthly!$D$45</f>
        <v>Outsourced finance</v>
      </c>
      <c r="F1301" s="24" t="str">
        <f aca="false">Monthly!$A$45</f>
        <v>Outsourced finance (E57 or equivalent) — maintenance</v>
      </c>
      <c r="G1301" s="20" t="n">
        <f aca="false">Monthly!I$45</f>
        <v>0</v>
      </c>
      <c r="H1301" s="24" t="str">
        <f aca="false">ScenarioName</f>
        <v>Base</v>
      </c>
    </row>
    <row r="1302" customFormat="false" ht="15" hidden="false" customHeight="false" outlineLevel="0" collapsed="false">
      <c r="A1302" s="8" t="n">
        <v>5</v>
      </c>
      <c r="B1302" s="39" t="n">
        <f aca="false">EDATE(StartDate,A1302-1)</f>
        <v>46508</v>
      </c>
      <c r="C1302" s="24" t="str">
        <f aca="false">Monthly!$B$45</f>
        <v>EnergyWave, Inc.</v>
      </c>
      <c r="D1302" s="24" t="str">
        <f aca="false">Monthly!$C$45</f>
        <v>Finance</v>
      </c>
      <c r="E1302" s="24" t="str">
        <f aca="false">Monthly!$D$45</f>
        <v>Outsourced finance</v>
      </c>
      <c r="F1302" s="24" t="str">
        <f aca="false">Monthly!$A$45</f>
        <v>Outsourced finance (E57 or equivalent) — maintenance</v>
      </c>
      <c r="G1302" s="20" t="n">
        <f aca="false">Monthly!J$45</f>
        <v>0</v>
      </c>
      <c r="H1302" s="24" t="str">
        <f aca="false">ScenarioName</f>
        <v>Base</v>
      </c>
    </row>
    <row r="1303" customFormat="false" ht="15" hidden="false" customHeight="false" outlineLevel="0" collapsed="false">
      <c r="A1303" s="8" t="n">
        <v>6</v>
      </c>
      <c r="B1303" s="39" t="n">
        <f aca="false">EDATE(StartDate,A1303-1)</f>
        <v>46539</v>
      </c>
      <c r="C1303" s="24" t="str">
        <f aca="false">Monthly!$B$45</f>
        <v>EnergyWave, Inc.</v>
      </c>
      <c r="D1303" s="24" t="str">
        <f aca="false">Monthly!$C$45</f>
        <v>Finance</v>
      </c>
      <c r="E1303" s="24" t="str">
        <f aca="false">Monthly!$D$45</f>
        <v>Outsourced finance</v>
      </c>
      <c r="F1303" s="24" t="str">
        <f aca="false">Monthly!$A$45</f>
        <v>Outsourced finance (E57 or equivalent) — maintenance</v>
      </c>
      <c r="G1303" s="20" t="n">
        <f aca="false">Monthly!K$45</f>
        <v>0</v>
      </c>
      <c r="H1303" s="24" t="str">
        <f aca="false">ScenarioName</f>
        <v>Base</v>
      </c>
    </row>
    <row r="1304" customFormat="false" ht="15" hidden="false" customHeight="false" outlineLevel="0" collapsed="false">
      <c r="A1304" s="8" t="n">
        <v>7</v>
      </c>
      <c r="B1304" s="39" t="n">
        <f aca="false">EDATE(StartDate,A1304-1)</f>
        <v>46569</v>
      </c>
      <c r="C1304" s="24" t="str">
        <f aca="false">Monthly!$B$45</f>
        <v>EnergyWave, Inc.</v>
      </c>
      <c r="D1304" s="24" t="str">
        <f aca="false">Monthly!$C$45</f>
        <v>Finance</v>
      </c>
      <c r="E1304" s="24" t="str">
        <f aca="false">Monthly!$D$45</f>
        <v>Outsourced finance</v>
      </c>
      <c r="F1304" s="24" t="str">
        <f aca="false">Monthly!$A$45</f>
        <v>Outsourced finance (E57 or equivalent) — maintenance</v>
      </c>
      <c r="G1304" s="20" t="n">
        <f aca="false">Monthly!L$45</f>
        <v>15000</v>
      </c>
      <c r="H1304" s="24" t="str">
        <f aca="false">ScenarioName</f>
        <v>Base</v>
      </c>
    </row>
    <row r="1305" customFormat="false" ht="15" hidden="false" customHeight="false" outlineLevel="0" collapsed="false">
      <c r="A1305" s="8" t="n">
        <v>8</v>
      </c>
      <c r="B1305" s="39" t="n">
        <f aca="false">EDATE(StartDate,A1305-1)</f>
        <v>46600</v>
      </c>
      <c r="C1305" s="24" t="str">
        <f aca="false">Monthly!$B$45</f>
        <v>EnergyWave, Inc.</v>
      </c>
      <c r="D1305" s="24" t="str">
        <f aca="false">Monthly!$C$45</f>
        <v>Finance</v>
      </c>
      <c r="E1305" s="24" t="str">
        <f aca="false">Monthly!$D$45</f>
        <v>Outsourced finance</v>
      </c>
      <c r="F1305" s="24" t="str">
        <f aca="false">Monthly!$A$45</f>
        <v>Outsourced finance (E57 or equivalent) — maintenance</v>
      </c>
      <c r="G1305" s="20" t="n">
        <f aca="false">Monthly!M$45</f>
        <v>15000</v>
      </c>
      <c r="H1305" s="24" t="str">
        <f aca="false">ScenarioName</f>
        <v>Base</v>
      </c>
    </row>
    <row r="1306" customFormat="false" ht="15" hidden="false" customHeight="false" outlineLevel="0" collapsed="false">
      <c r="A1306" s="8" t="n">
        <v>9</v>
      </c>
      <c r="B1306" s="39" t="n">
        <f aca="false">EDATE(StartDate,A1306-1)</f>
        <v>46631</v>
      </c>
      <c r="C1306" s="24" t="str">
        <f aca="false">Monthly!$B$45</f>
        <v>EnergyWave, Inc.</v>
      </c>
      <c r="D1306" s="24" t="str">
        <f aca="false">Monthly!$C$45</f>
        <v>Finance</v>
      </c>
      <c r="E1306" s="24" t="str">
        <f aca="false">Monthly!$D$45</f>
        <v>Outsourced finance</v>
      </c>
      <c r="F1306" s="24" t="str">
        <f aca="false">Monthly!$A$45</f>
        <v>Outsourced finance (E57 or equivalent) — maintenance</v>
      </c>
      <c r="G1306" s="20" t="n">
        <f aca="false">Monthly!N$45</f>
        <v>15000</v>
      </c>
      <c r="H1306" s="24" t="str">
        <f aca="false">ScenarioName</f>
        <v>Base</v>
      </c>
    </row>
    <row r="1307" customFormat="false" ht="15" hidden="false" customHeight="false" outlineLevel="0" collapsed="false">
      <c r="A1307" s="8" t="n">
        <v>10</v>
      </c>
      <c r="B1307" s="39" t="n">
        <f aca="false">EDATE(StartDate,A1307-1)</f>
        <v>46661</v>
      </c>
      <c r="C1307" s="24" t="str">
        <f aca="false">Monthly!$B$45</f>
        <v>EnergyWave, Inc.</v>
      </c>
      <c r="D1307" s="24" t="str">
        <f aca="false">Monthly!$C$45</f>
        <v>Finance</v>
      </c>
      <c r="E1307" s="24" t="str">
        <f aca="false">Monthly!$D$45</f>
        <v>Outsourced finance</v>
      </c>
      <c r="F1307" s="24" t="str">
        <f aca="false">Monthly!$A$45</f>
        <v>Outsourced finance (E57 or equivalent) — maintenance</v>
      </c>
      <c r="G1307" s="20" t="n">
        <f aca="false">Monthly!O$45</f>
        <v>15000</v>
      </c>
      <c r="H1307" s="24" t="str">
        <f aca="false">ScenarioName</f>
        <v>Base</v>
      </c>
    </row>
    <row r="1308" customFormat="false" ht="15" hidden="false" customHeight="false" outlineLevel="0" collapsed="false">
      <c r="A1308" s="8" t="n">
        <v>11</v>
      </c>
      <c r="B1308" s="39" t="n">
        <f aca="false">EDATE(StartDate,A1308-1)</f>
        <v>46692</v>
      </c>
      <c r="C1308" s="24" t="str">
        <f aca="false">Monthly!$B$45</f>
        <v>EnergyWave, Inc.</v>
      </c>
      <c r="D1308" s="24" t="str">
        <f aca="false">Monthly!$C$45</f>
        <v>Finance</v>
      </c>
      <c r="E1308" s="24" t="str">
        <f aca="false">Monthly!$D$45</f>
        <v>Outsourced finance</v>
      </c>
      <c r="F1308" s="24" t="str">
        <f aca="false">Monthly!$A$45</f>
        <v>Outsourced finance (E57 or equivalent) — maintenance</v>
      </c>
      <c r="G1308" s="20" t="n">
        <f aca="false">Monthly!P$45</f>
        <v>15000</v>
      </c>
      <c r="H1308" s="24" t="str">
        <f aca="false">ScenarioName</f>
        <v>Base</v>
      </c>
    </row>
    <row r="1309" customFormat="false" ht="15" hidden="false" customHeight="false" outlineLevel="0" collapsed="false">
      <c r="A1309" s="8" t="n">
        <v>12</v>
      </c>
      <c r="B1309" s="39" t="n">
        <f aca="false">EDATE(StartDate,A1309-1)</f>
        <v>46722</v>
      </c>
      <c r="C1309" s="24" t="str">
        <f aca="false">Monthly!$B$45</f>
        <v>EnergyWave, Inc.</v>
      </c>
      <c r="D1309" s="24" t="str">
        <f aca="false">Monthly!$C$45</f>
        <v>Finance</v>
      </c>
      <c r="E1309" s="24" t="str">
        <f aca="false">Monthly!$D$45</f>
        <v>Outsourced finance</v>
      </c>
      <c r="F1309" s="24" t="str">
        <f aca="false">Monthly!$A$45</f>
        <v>Outsourced finance (E57 or equivalent) — maintenance</v>
      </c>
      <c r="G1309" s="20" t="n">
        <f aca="false">Monthly!Q$45</f>
        <v>15000</v>
      </c>
      <c r="H1309" s="24" t="str">
        <f aca="false">ScenarioName</f>
        <v>Base</v>
      </c>
    </row>
    <row r="1310" customFormat="false" ht="15" hidden="false" customHeight="false" outlineLevel="0" collapsed="false">
      <c r="A1310" s="8" t="n">
        <v>13</v>
      </c>
      <c r="B1310" s="39" t="n">
        <f aca="false">EDATE(StartDate,A1310-1)</f>
        <v>46753</v>
      </c>
      <c r="C1310" s="24" t="str">
        <f aca="false">Monthly!$B$45</f>
        <v>EnergyWave, Inc.</v>
      </c>
      <c r="D1310" s="24" t="str">
        <f aca="false">Monthly!$C$45</f>
        <v>Finance</v>
      </c>
      <c r="E1310" s="24" t="str">
        <f aca="false">Monthly!$D$45</f>
        <v>Outsourced finance</v>
      </c>
      <c r="F1310" s="24" t="str">
        <f aca="false">Monthly!$A$45</f>
        <v>Outsourced finance (E57 or equivalent) — maintenance</v>
      </c>
      <c r="G1310" s="20" t="n">
        <f aca="false">Monthly!R$45</f>
        <v>15000</v>
      </c>
      <c r="H1310" s="24" t="str">
        <f aca="false">ScenarioName</f>
        <v>Base</v>
      </c>
    </row>
    <row r="1311" customFormat="false" ht="15" hidden="false" customHeight="false" outlineLevel="0" collapsed="false">
      <c r="A1311" s="8" t="n">
        <v>14</v>
      </c>
      <c r="B1311" s="39" t="n">
        <f aca="false">EDATE(StartDate,A1311-1)</f>
        <v>46784</v>
      </c>
      <c r="C1311" s="24" t="str">
        <f aca="false">Monthly!$B$45</f>
        <v>EnergyWave, Inc.</v>
      </c>
      <c r="D1311" s="24" t="str">
        <f aca="false">Monthly!$C$45</f>
        <v>Finance</v>
      </c>
      <c r="E1311" s="24" t="str">
        <f aca="false">Monthly!$D$45</f>
        <v>Outsourced finance</v>
      </c>
      <c r="F1311" s="24" t="str">
        <f aca="false">Monthly!$A$45</f>
        <v>Outsourced finance (E57 or equivalent) — maintenance</v>
      </c>
      <c r="G1311" s="20" t="n">
        <f aca="false">Monthly!S$45</f>
        <v>15000</v>
      </c>
      <c r="H1311" s="24" t="str">
        <f aca="false">ScenarioName</f>
        <v>Base</v>
      </c>
    </row>
    <row r="1312" customFormat="false" ht="15" hidden="false" customHeight="false" outlineLevel="0" collapsed="false">
      <c r="A1312" s="8" t="n">
        <v>15</v>
      </c>
      <c r="B1312" s="39" t="n">
        <f aca="false">EDATE(StartDate,A1312-1)</f>
        <v>46813</v>
      </c>
      <c r="C1312" s="24" t="str">
        <f aca="false">Monthly!$B$45</f>
        <v>EnergyWave, Inc.</v>
      </c>
      <c r="D1312" s="24" t="str">
        <f aca="false">Monthly!$C$45</f>
        <v>Finance</v>
      </c>
      <c r="E1312" s="24" t="str">
        <f aca="false">Monthly!$D$45</f>
        <v>Outsourced finance</v>
      </c>
      <c r="F1312" s="24" t="str">
        <f aca="false">Monthly!$A$45</f>
        <v>Outsourced finance (E57 or equivalent) — maintenance</v>
      </c>
      <c r="G1312" s="20" t="n">
        <f aca="false">Monthly!T$45</f>
        <v>15000</v>
      </c>
      <c r="H1312" s="24" t="str">
        <f aca="false">ScenarioName</f>
        <v>Base</v>
      </c>
    </row>
    <row r="1313" customFormat="false" ht="15" hidden="false" customHeight="false" outlineLevel="0" collapsed="false">
      <c r="A1313" s="8" t="n">
        <v>16</v>
      </c>
      <c r="B1313" s="39" t="n">
        <f aca="false">EDATE(StartDate,A1313-1)</f>
        <v>46844</v>
      </c>
      <c r="C1313" s="24" t="str">
        <f aca="false">Monthly!$B$45</f>
        <v>EnergyWave, Inc.</v>
      </c>
      <c r="D1313" s="24" t="str">
        <f aca="false">Monthly!$C$45</f>
        <v>Finance</v>
      </c>
      <c r="E1313" s="24" t="str">
        <f aca="false">Monthly!$D$45</f>
        <v>Outsourced finance</v>
      </c>
      <c r="F1313" s="24" t="str">
        <f aca="false">Monthly!$A$45</f>
        <v>Outsourced finance (E57 or equivalent) — maintenance</v>
      </c>
      <c r="G1313" s="20" t="n">
        <f aca="false">Monthly!U$45</f>
        <v>15000</v>
      </c>
      <c r="H1313" s="24" t="str">
        <f aca="false">ScenarioName</f>
        <v>Base</v>
      </c>
    </row>
    <row r="1314" customFormat="false" ht="15" hidden="false" customHeight="false" outlineLevel="0" collapsed="false">
      <c r="A1314" s="8" t="n">
        <v>17</v>
      </c>
      <c r="B1314" s="39" t="n">
        <f aca="false">EDATE(StartDate,A1314-1)</f>
        <v>46874</v>
      </c>
      <c r="C1314" s="24" t="str">
        <f aca="false">Monthly!$B$45</f>
        <v>EnergyWave, Inc.</v>
      </c>
      <c r="D1314" s="24" t="str">
        <f aca="false">Monthly!$C$45</f>
        <v>Finance</v>
      </c>
      <c r="E1314" s="24" t="str">
        <f aca="false">Monthly!$D$45</f>
        <v>Outsourced finance</v>
      </c>
      <c r="F1314" s="24" t="str">
        <f aca="false">Monthly!$A$45</f>
        <v>Outsourced finance (E57 or equivalent) — maintenance</v>
      </c>
      <c r="G1314" s="20" t="n">
        <f aca="false">Monthly!V$45</f>
        <v>15000</v>
      </c>
      <c r="H1314" s="24" t="str">
        <f aca="false">ScenarioName</f>
        <v>Base</v>
      </c>
    </row>
    <row r="1315" customFormat="false" ht="15" hidden="false" customHeight="false" outlineLevel="0" collapsed="false">
      <c r="A1315" s="8" t="n">
        <v>18</v>
      </c>
      <c r="B1315" s="39" t="n">
        <f aca="false">EDATE(StartDate,A1315-1)</f>
        <v>46905</v>
      </c>
      <c r="C1315" s="24" t="str">
        <f aca="false">Monthly!$B$45</f>
        <v>EnergyWave, Inc.</v>
      </c>
      <c r="D1315" s="24" t="str">
        <f aca="false">Monthly!$C$45</f>
        <v>Finance</v>
      </c>
      <c r="E1315" s="24" t="str">
        <f aca="false">Monthly!$D$45</f>
        <v>Outsourced finance</v>
      </c>
      <c r="F1315" s="24" t="str">
        <f aca="false">Monthly!$A$45</f>
        <v>Outsourced finance (E57 or equivalent) — maintenance</v>
      </c>
      <c r="G1315" s="20" t="n">
        <f aca="false">Monthly!W$45</f>
        <v>15000</v>
      </c>
      <c r="H1315" s="24" t="str">
        <f aca="false">ScenarioName</f>
        <v>Base</v>
      </c>
    </row>
    <row r="1316" customFormat="false" ht="15" hidden="false" customHeight="false" outlineLevel="0" collapsed="false">
      <c r="A1316" s="8" t="n">
        <v>19</v>
      </c>
      <c r="B1316" s="39" t="n">
        <f aca="false">EDATE(StartDate,A1316-1)</f>
        <v>46935</v>
      </c>
      <c r="C1316" s="24" t="str">
        <f aca="false">Monthly!$B$45</f>
        <v>EnergyWave, Inc.</v>
      </c>
      <c r="D1316" s="24" t="str">
        <f aca="false">Monthly!$C$45</f>
        <v>Finance</v>
      </c>
      <c r="E1316" s="24" t="str">
        <f aca="false">Monthly!$D$45</f>
        <v>Outsourced finance</v>
      </c>
      <c r="F1316" s="24" t="str">
        <f aca="false">Monthly!$A$45</f>
        <v>Outsourced finance (E57 or equivalent) — maintenance</v>
      </c>
      <c r="G1316" s="20" t="n">
        <f aca="false">Monthly!X$45</f>
        <v>15000</v>
      </c>
      <c r="H1316" s="24" t="str">
        <f aca="false">ScenarioName</f>
        <v>Base</v>
      </c>
    </row>
    <row r="1317" customFormat="false" ht="15" hidden="false" customHeight="false" outlineLevel="0" collapsed="false">
      <c r="A1317" s="8" t="n">
        <v>20</v>
      </c>
      <c r="B1317" s="39" t="n">
        <f aca="false">EDATE(StartDate,A1317-1)</f>
        <v>46966</v>
      </c>
      <c r="C1317" s="24" t="str">
        <f aca="false">Monthly!$B$45</f>
        <v>EnergyWave, Inc.</v>
      </c>
      <c r="D1317" s="24" t="str">
        <f aca="false">Monthly!$C$45</f>
        <v>Finance</v>
      </c>
      <c r="E1317" s="24" t="str">
        <f aca="false">Monthly!$D$45</f>
        <v>Outsourced finance</v>
      </c>
      <c r="F1317" s="24" t="str">
        <f aca="false">Monthly!$A$45</f>
        <v>Outsourced finance (E57 or equivalent) — maintenance</v>
      </c>
      <c r="G1317" s="20" t="n">
        <f aca="false">Monthly!Y$45</f>
        <v>15000</v>
      </c>
      <c r="H1317" s="24" t="str">
        <f aca="false">ScenarioName</f>
        <v>Base</v>
      </c>
    </row>
    <row r="1318" customFormat="false" ht="15" hidden="false" customHeight="false" outlineLevel="0" collapsed="false">
      <c r="A1318" s="8" t="n">
        <v>21</v>
      </c>
      <c r="B1318" s="39" t="n">
        <f aca="false">EDATE(StartDate,A1318-1)</f>
        <v>46997</v>
      </c>
      <c r="C1318" s="24" t="str">
        <f aca="false">Monthly!$B$45</f>
        <v>EnergyWave, Inc.</v>
      </c>
      <c r="D1318" s="24" t="str">
        <f aca="false">Monthly!$C$45</f>
        <v>Finance</v>
      </c>
      <c r="E1318" s="24" t="str">
        <f aca="false">Monthly!$D$45</f>
        <v>Outsourced finance</v>
      </c>
      <c r="F1318" s="24" t="str">
        <f aca="false">Monthly!$A$45</f>
        <v>Outsourced finance (E57 or equivalent) — maintenance</v>
      </c>
      <c r="G1318" s="20" t="n">
        <f aca="false">Monthly!Z$45</f>
        <v>15000</v>
      </c>
      <c r="H1318" s="24" t="str">
        <f aca="false">ScenarioName</f>
        <v>Base</v>
      </c>
    </row>
    <row r="1319" customFormat="false" ht="15" hidden="false" customHeight="false" outlineLevel="0" collapsed="false">
      <c r="A1319" s="8" t="n">
        <v>22</v>
      </c>
      <c r="B1319" s="39" t="n">
        <f aca="false">EDATE(StartDate,A1319-1)</f>
        <v>47027</v>
      </c>
      <c r="C1319" s="24" t="str">
        <f aca="false">Monthly!$B$45</f>
        <v>EnergyWave, Inc.</v>
      </c>
      <c r="D1319" s="24" t="str">
        <f aca="false">Monthly!$C$45</f>
        <v>Finance</v>
      </c>
      <c r="E1319" s="24" t="str">
        <f aca="false">Monthly!$D$45</f>
        <v>Outsourced finance</v>
      </c>
      <c r="F1319" s="24" t="str">
        <f aca="false">Monthly!$A$45</f>
        <v>Outsourced finance (E57 or equivalent) — maintenance</v>
      </c>
      <c r="G1319" s="20" t="n">
        <f aca="false">Monthly!AA$45</f>
        <v>15000</v>
      </c>
      <c r="H1319" s="24" t="str">
        <f aca="false">ScenarioName</f>
        <v>Base</v>
      </c>
    </row>
    <row r="1320" customFormat="false" ht="15" hidden="false" customHeight="false" outlineLevel="0" collapsed="false">
      <c r="A1320" s="8" t="n">
        <v>23</v>
      </c>
      <c r="B1320" s="39" t="n">
        <f aca="false">EDATE(StartDate,A1320-1)</f>
        <v>47058</v>
      </c>
      <c r="C1320" s="24" t="str">
        <f aca="false">Monthly!$B$45</f>
        <v>EnergyWave, Inc.</v>
      </c>
      <c r="D1320" s="24" t="str">
        <f aca="false">Monthly!$C$45</f>
        <v>Finance</v>
      </c>
      <c r="E1320" s="24" t="str">
        <f aca="false">Monthly!$D$45</f>
        <v>Outsourced finance</v>
      </c>
      <c r="F1320" s="24" t="str">
        <f aca="false">Monthly!$A$45</f>
        <v>Outsourced finance (E57 or equivalent) — maintenance</v>
      </c>
      <c r="G1320" s="20" t="n">
        <f aca="false">Monthly!AB$45</f>
        <v>15000</v>
      </c>
      <c r="H1320" s="24" t="str">
        <f aca="false">ScenarioName</f>
        <v>Base</v>
      </c>
    </row>
    <row r="1321" customFormat="false" ht="15" hidden="false" customHeight="false" outlineLevel="0" collapsed="false">
      <c r="A1321" s="8" t="n">
        <v>24</v>
      </c>
      <c r="B1321" s="39" t="n">
        <f aca="false">EDATE(StartDate,A1321-1)</f>
        <v>47088</v>
      </c>
      <c r="C1321" s="24" t="str">
        <f aca="false">Monthly!$B$45</f>
        <v>EnergyWave, Inc.</v>
      </c>
      <c r="D1321" s="24" t="str">
        <f aca="false">Monthly!$C$45</f>
        <v>Finance</v>
      </c>
      <c r="E1321" s="24" t="str">
        <f aca="false">Monthly!$D$45</f>
        <v>Outsourced finance</v>
      </c>
      <c r="F1321" s="24" t="str">
        <f aca="false">Monthly!$A$45</f>
        <v>Outsourced finance (E57 or equivalent) — maintenance</v>
      </c>
      <c r="G1321" s="20" t="n">
        <f aca="false">Monthly!AC$45</f>
        <v>15000</v>
      </c>
      <c r="H1321" s="24" t="str">
        <f aca="false">ScenarioName</f>
        <v>Base</v>
      </c>
    </row>
    <row r="1322" customFormat="false" ht="15" hidden="false" customHeight="false" outlineLevel="0" collapsed="false">
      <c r="A1322" s="8" t="n">
        <v>25</v>
      </c>
      <c r="B1322" s="39" t="n">
        <f aca="false">EDATE(StartDate,A1322-1)</f>
        <v>47119</v>
      </c>
      <c r="C1322" s="24" t="str">
        <f aca="false">Monthly!$B$45</f>
        <v>EnergyWave, Inc.</v>
      </c>
      <c r="D1322" s="24" t="str">
        <f aca="false">Monthly!$C$45</f>
        <v>Finance</v>
      </c>
      <c r="E1322" s="24" t="str">
        <f aca="false">Monthly!$D$45</f>
        <v>Outsourced finance</v>
      </c>
      <c r="F1322" s="24" t="str">
        <f aca="false">Monthly!$A$45</f>
        <v>Outsourced finance (E57 or equivalent) — maintenance</v>
      </c>
      <c r="G1322" s="20" t="n">
        <f aca="false">Monthly!AD$45</f>
        <v>15000</v>
      </c>
      <c r="H1322" s="24" t="str">
        <f aca="false">ScenarioName</f>
        <v>Base</v>
      </c>
    </row>
    <row r="1323" customFormat="false" ht="15" hidden="false" customHeight="false" outlineLevel="0" collapsed="false">
      <c r="A1323" s="8" t="n">
        <v>26</v>
      </c>
      <c r="B1323" s="39" t="n">
        <f aca="false">EDATE(StartDate,A1323-1)</f>
        <v>47150</v>
      </c>
      <c r="C1323" s="24" t="str">
        <f aca="false">Monthly!$B$45</f>
        <v>EnergyWave, Inc.</v>
      </c>
      <c r="D1323" s="24" t="str">
        <f aca="false">Monthly!$C$45</f>
        <v>Finance</v>
      </c>
      <c r="E1323" s="24" t="str">
        <f aca="false">Monthly!$D$45</f>
        <v>Outsourced finance</v>
      </c>
      <c r="F1323" s="24" t="str">
        <f aca="false">Monthly!$A$45</f>
        <v>Outsourced finance (E57 or equivalent) — maintenance</v>
      </c>
      <c r="G1323" s="20" t="n">
        <f aca="false">Monthly!AE$45</f>
        <v>15000</v>
      </c>
      <c r="H1323" s="24" t="str">
        <f aca="false">ScenarioName</f>
        <v>Base</v>
      </c>
    </row>
    <row r="1324" customFormat="false" ht="15" hidden="false" customHeight="false" outlineLevel="0" collapsed="false">
      <c r="A1324" s="8" t="n">
        <v>27</v>
      </c>
      <c r="B1324" s="39" t="n">
        <f aca="false">EDATE(StartDate,A1324-1)</f>
        <v>47178</v>
      </c>
      <c r="C1324" s="24" t="str">
        <f aca="false">Monthly!$B$45</f>
        <v>EnergyWave, Inc.</v>
      </c>
      <c r="D1324" s="24" t="str">
        <f aca="false">Monthly!$C$45</f>
        <v>Finance</v>
      </c>
      <c r="E1324" s="24" t="str">
        <f aca="false">Monthly!$D$45</f>
        <v>Outsourced finance</v>
      </c>
      <c r="F1324" s="24" t="str">
        <f aca="false">Monthly!$A$45</f>
        <v>Outsourced finance (E57 or equivalent) — maintenance</v>
      </c>
      <c r="G1324" s="20" t="n">
        <f aca="false">Monthly!AF$45</f>
        <v>15000</v>
      </c>
      <c r="H1324" s="24" t="str">
        <f aca="false">ScenarioName</f>
        <v>Base</v>
      </c>
    </row>
    <row r="1325" customFormat="false" ht="15" hidden="false" customHeight="false" outlineLevel="0" collapsed="false">
      <c r="A1325" s="8" t="n">
        <v>28</v>
      </c>
      <c r="B1325" s="39" t="n">
        <f aca="false">EDATE(StartDate,A1325-1)</f>
        <v>47209</v>
      </c>
      <c r="C1325" s="24" t="str">
        <f aca="false">Monthly!$B$45</f>
        <v>EnergyWave, Inc.</v>
      </c>
      <c r="D1325" s="24" t="str">
        <f aca="false">Monthly!$C$45</f>
        <v>Finance</v>
      </c>
      <c r="E1325" s="24" t="str">
        <f aca="false">Monthly!$D$45</f>
        <v>Outsourced finance</v>
      </c>
      <c r="F1325" s="24" t="str">
        <f aca="false">Monthly!$A$45</f>
        <v>Outsourced finance (E57 or equivalent) — maintenance</v>
      </c>
      <c r="G1325" s="20" t="n">
        <f aca="false">Monthly!AG$45</f>
        <v>15000</v>
      </c>
      <c r="H1325" s="24" t="str">
        <f aca="false">ScenarioName</f>
        <v>Base</v>
      </c>
    </row>
    <row r="1326" customFormat="false" ht="15" hidden="false" customHeight="false" outlineLevel="0" collapsed="false">
      <c r="A1326" s="8" t="n">
        <v>29</v>
      </c>
      <c r="B1326" s="39" t="n">
        <f aca="false">EDATE(StartDate,A1326-1)</f>
        <v>47239</v>
      </c>
      <c r="C1326" s="24" t="str">
        <f aca="false">Monthly!$B$45</f>
        <v>EnergyWave, Inc.</v>
      </c>
      <c r="D1326" s="24" t="str">
        <f aca="false">Monthly!$C$45</f>
        <v>Finance</v>
      </c>
      <c r="E1326" s="24" t="str">
        <f aca="false">Monthly!$D$45</f>
        <v>Outsourced finance</v>
      </c>
      <c r="F1326" s="24" t="str">
        <f aca="false">Monthly!$A$45</f>
        <v>Outsourced finance (E57 or equivalent) — maintenance</v>
      </c>
      <c r="G1326" s="20" t="n">
        <f aca="false">Monthly!AH$45</f>
        <v>15000</v>
      </c>
      <c r="H1326" s="24" t="str">
        <f aca="false">ScenarioName</f>
        <v>Base</v>
      </c>
    </row>
    <row r="1327" customFormat="false" ht="15" hidden="false" customHeight="false" outlineLevel="0" collapsed="false">
      <c r="A1327" s="8" t="n">
        <v>30</v>
      </c>
      <c r="B1327" s="39" t="n">
        <f aca="false">EDATE(StartDate,A1327-1)</f>
        <v>47270</v>
      </c>
      <c r="C1327" s="24" t="str">
        <f aca="false">Monthly!$B$45</f>
        <v>EnergyWave, Inc.</v>
      </c>
      <c r="D1327" s="24" t="str">
        <f aca="false">Monthly!$C$45</f>
        <v>Finance</v>
      </c>
      <c r="E1327" s="24" t="str">
        <f aca="false">Monthly!$D$45</f>
        <v>Outsourced finance</v>
      </c>
      <c r="F1327" s="24" t="str">
        <f aca="false">Monthly!$A$45</f>
        <v>Outsourced finance (E57 or equivalent) — maintenance</v>
      </c>
      <c r="G1327" s="20" t="n">
        <f aca="false">Monthly!AI$45</f>
        <v>15000</v>
      </c>
      <c r="H1327" s="24" t="str">
        <f aca="false">ScenarioName</f>
        <v>Base</v>
      </c>
    </row>
    <row r="1328" customFormat="false" ht="15" hidden="false" customHeight="false" outlineLevel="0" collapsed="false">
      <c r="A1328" s="8" t="n">
        <v>31</v>
      </c>
      <c r="B1328" s="39" t="n">
        <f aca="false">EDATE(StartDate,A1328-1)</f>
        <v>47300</v>
      </c>
      <c r="C1328" s="24" t="str">
        <f aca="false">Monthly!$B$45</f>
        <v>EnergyWave, Inc.</v>
      </c>
      <c r="D1328" s="24" t="str">
        <f aca="false">Monthly!$C$45</f>
        <v>Finance</v>
      </c>
      <c r="E1328" s="24" t="str">
        <f aca="false">Monthly!$D$45</f>
        <v>Outsourced finance</v>
      </c>
      <c r="F1328" s="24" t="str">
        <f aca="false">Monthly!$A$45</f>
        <v>Outsourced finance (E57 or equivalent) — maintenance</v>
      </c>
      <c r="G1328" s="20" t="n">
        <f aca="false">Monthly!AJ$45</f>
        <v>15000</v>
      </c>
      <c r="H1328" s="24" t="str">
        <f aca="false">ScenarioName</f>
        <v>Base</v>
      </c>
    </row>
    <row r="1329" customFormat="false" ht="15" hidden="false" customHeight="false" outlineLevel="0" collapsed="false">
      <c r="A1329" s="8" t="n">
        <v>32</v>
      </c>
      <c r="B1329" s="39" t="n">
        <f aca="false">EDATE(StartDate,A1329-1)</f>
        <v>47331</v>
      </c>
      <c r="C1329" s="24" t="str">
        <f aca="false">Monthly!$B$45</f>
        <v>EnergyWave, Inc.</v>
      </c>
      <c r="D1329" s="24" t="str">
        <f aca="false">Monthly!$C$45</f>
        <v>Finance</v>
      </c>
      <c r="E1329" s="24" t="str">
        <f aca="false">Monthly!$D$45</f>
        <v>Outsourced finance</v>
      </c>
      <c r="F1329" s="24" t="str">
        <f aca="false">Monthly!$A$45</f>
        <v>Outsourced finance (E57 or equivalent) — maintenance</v>
      </c>
      <c r="G1329" s="20" t="n">
        <f aca="false">Monthly!AK$45</f>
        <v>15000</v>
      </c>
      <c r="H1329" s="24" t="str">
        <f aca="false">ScenarioName</f>
        <v>Base</v>
      </c>
    </row>
    <row r="1330" customFormat="false" ht="15" hidden="false" customHeight="false" outlineLevel="0" collapsed="false">
      <c r="A1330" s="8" t="n">
        <v>33</v>
      </c>
      <c r="B1330" s="39" t="n">
        <f aca="false">EDATE(StartDate,A1330-1)</f>
        <v>47362</v>
      </c>
      <c r="C1330" s="24" t="str">
        <f aca="false">Monthly!$B$45</f>
        <v>EnergyWave, Inc.</v>
      </c>
      <c r="D1330" s="24" t="str">
        <f aca="false">Monthly!$C$45</f>
        <v>Finance</v>
      </c>
      <c r="E1330" s="24" t="str">
        <f aca="false">Monthly!$D$45</f>
        <v>Outsourced finance</v>
      </c>
      <c r="F1330" s="24" t="str">
        <f aca="false">Monthly!$A$45</f>
        <v>Outsourced finance (E57 or equivalent) — maintenance</v>
      </c>
      <c r="G1330" s="20" t="n">
        <f aca="false">Monthly!AL$45</f>
        <v>15000</v>
      </c>
      <c r="H1330" s="24" t="str">
        <f aca="false">ScenarioName</f>
        <v>Base</v>
      </c>
    </row>
    <row r="1331" customFormat="false" ht="15" hidden="false" customHeight="false" outlineLevel="0" collapsed="false">
      <c r="A1331" s="8" t="n">
        <v>34</v>
      </c>
      <c r="B1331" s="39" t="n">
        <f aca="false">EDATE(StartDate,A1331-1)</f>
        <v>47392</v>
      </c>
      <c r="C1331" s="24" t="str">
        <f aca="false">Monthly!$B$45</f>
        <v>EnergyWave, Inc.</v>
      </c>
      <c r="D1331" s="24" t="str">
        <f aca="false">Monthly!$C$45</f>
        <v>Finance</v>
      </c>
      <c r="E1331" s="24" t="str">
        <f aca="false">Monthly!$D$45</f>
        <v>Outsourced finance</v>
      </c>
      <c r="F1331" s="24" t="str">
        <f aca="false">Monthly!$A$45</f>
        <v>Outsourced finance (E57 or equivalent) — maintenance</v>
      </c>
      <c r="G1331" s="20" t="n">
        <f aca="false">Monthly!AM$45</f>
        <v>15000</v>
      </c>
      <c r="H1331" s="24" t="str">
        <f aca="false">ScenarioName</f>
        <v>Base</v>
      </c>
    </row>
    <row r="1332" customFormat="false" ht="15" hidden="false" customHeight="false" outlineLevel="0" collapsed="false">
      <c r="A1332" s="8" t="n">
        <v>35</v>
      </c>
      <c r="B1332" s="39" t="n">
        <f aca="false">EDATE(StartDate,A1332-1)</f>
        <v>47423</v>
      </c>
      <c r="C1332" s="24" t="str">
        <f aca="false">Monthly!$B$45</f>
        <v>EnergyWave, Inc.</v>
      </c>
      <c r="D1332" s="24" t="str">
        <f aca="false">Monthly!$C$45</f>
        <v>Finance</v>
      </c>
      <c r="E1332" s="24" t="str">
        <f aca="false">Monthly!$D$45</f>
        <v>Outsourced finance</v>
      </c>
      <c r="F1332" s="24" t="str">
        <f aca="false">Monthly!$A$45</f>
        <v>Outsourced finance (E57 or equivalent) — maintenance</v>
      </c>
      <c r="G1332" s="20" t="n">
        <f aca="false">Monthly!AN$45</f>
        <v>15000</v>
      </c>
      <c r="H1332" s="24" t="str">
        <f aca="false">ScenarioName</f>
        <v>Base</v>
      </c>
    </row>
    <row r="1333" customFormat="false" ht="15" hidden="false" customHeight="false" outlineLevel="0" collapsed="false">
      <c r="A1333" s="8" t="n">
        <v>36</v>
      </c>
      <c r="B1333" s="39" t="n">
        <f aca="false">EDATE(StartDate,A1333-1)</f>
        <v>47453</v>
      </c>
      <c r="C1333" s="24" t="str">
        <f aca="false">Monthly!$B$45</f>
        <v>EnergyWave, Inc.</v>
      </c>
      <c r="D1333" s="24" t="str">
        <f aca="false">Monthly!$C$45</f>
        <v>Finance</v>
      </c>
      <c r="E1333" s="24" t="str">
        <f aca="false">Monthly!$D$45</f>
        <v>Outsourced finance</v>
      </c>
      <c r="F1333" s="24" t="str">
        <f aca="false">Monthly!$A$45</f>
        <v>Outsourced finance (E57 or equivalent) — maintenance</v>
      </c>
      <c r="G1333" s="20" t="n">
        <f aca="false">Monthly!AO$45</f>
        <v>15000</v>
      </c>
      <c r="H1333" s="24" t="str">
        <f aca="false">ScenarioName</f>
        <v>Base</v>
      </c>
    </row>
    <row r="1334" customFormat="false" ht="15" hidden="false" customHeight="false" outlineLevel="0" collapsed="false">
      <c r="A1334" s="8" t="n">
        <v>1</v>
      </c>
      <c r="B1334" s="39" t="n">
        <f aca="false">EDATE(StartDate,A1334-1)</f>
        <v>46388</v>
      </c>
      <c r="C1334" s="24" t="str">
        <f aca="false">Monthly!$B$46</f>
        <v>EnergyWave, Inc.</v>
      </c>
      <c r="D1334" s="24" t="str">
        <f aca="false">Monthly!$C$46</f>
        <v>Finance</v>
      </c>
      <c r="E1334" s="24" t="str">
        <f aca="false">Monthly!$D$46</f>
        <v>Audit &amp; tax</v>
      </c>
      <c r="F1334" s="24" t="str">
        <f aca="false">Monthly!$A$46</f>
        <v>Audit, tax, Form 990 support (affiliates billed separately)</v>
      </c>
      <c r="G1334" s="20" t="n">
        <f aca="false">Monthly!F$46</f>
        <v>0</v>
      </c>
      <c r="H1334" s="24" t="str">
        <f aca="false">ScenarioName</f>
        <v>Base</v>
      </c>
    </row>
    <row r="1335" customFormat="false" ht="15" hidden="false" customHeight="false" outlineLevel="0" collapsed="false">
      <c r="A1335" s="8" t="n">
        <v>2</v>
      </c>
      <c r="B1335" s="39" t="n">
        <f aca="false">EDATE(StartDate,A1335-1)</f>
        <v>46419</v>
      </c>
      <c r="C1335" s="24" t="str">
        <f aca="false">Monthly!$B$46</f>
        <v>EnergyWave, Inc.</v>
      </c>
      <c r="D1335" s="24" t="str">
        <f aca="false">Monthly!$C$46</f>
        <v>Finance</v>
      </c>
      <c r="E1335" s="24" t="str">
        <f aca="false">Monthly!$D$46</f>
        <v>Audit &amp; tax</v>
      </c>
      <c r="F1335" s="24" t="str">
        <f aca="false">Monthly!$A$46</f>
        <v>Audit, tax, Form 990 support (affiliates billed separately)</v>
      </c>
      <c r="G1335" s="20" t="n">
        <f aca="false">Monthly!G$46</f>
        <v>0</v>
      </c>
      <c r="H1335" s="24" t="str">
        <f aca="false">ScenarioName</f>
        <v>Base</v>
      </c>
    </row>
    <row r="1336" customFormat="false" ht="15" hidden="false" customHeight="false" outlineLevel="0" collapsed="false">
      <c r="A1336" s="8" t="n">
        <v>3</v>
      </c>
      <c r="B1336" s="39" t="n">
        <f aca="false">EDATE(StartDate,A1336-1)</f>
        <v>46447</v>
      </c>
      <c r="C1336" s="24" t="str">
        <f aca="false">Monthly!$B$46</f>
        <v>EnergyWave, Inc.</v>
      </c>
      <c r="D1336" s="24" t="str">
        <f aca="false">Monthly!$C$46</f>
        <v>Finance</v>
      </c>
      <c r="E1336" s="24" t="str">
        <f aca="false">Monthly!$D$46</f>
        <v>Audit &amp; tax</v>
      </c>
      <c r="F1336" s="24" t="str">
        <f aca="false">Monthly!$A$46</f>
        <v>Audit, tax, Form 990 support (affiliates billed separately)</v>
      </c>
      <c r="G1336" s="20" t="n">
        <f aca="false">Monthly!H$46</f>
        <v>0</v>
      </c>
      <c r="H1336" s="24" t="str">
        <f aca="false">ScenarioName</f>
        <v>Base</v>
      </c>
    </row>
    <row r="1337" customFormat="false" ht="15" hidden="false" customHeight="false" outlineLevel="0" collapsed="false">
      <c r="A1337" s="8" t="n">
        <v>4</v>
      </c>
      <c r="B1337" s="39" t="n">
        <f aca="false">EDATE(StartDate,A1337-1)</f>
        <v>46478</v>
      </c>
      <c r="C1337" s="24" t="str">
        <f aca="false">Monthly!$B$46</f>
        <v>EnergyWave, Inc.</v>
      </c>
      <c r="D1337" s="24" t="str">
        <f aca="false">Monthly!$C$46</f>
        <v>Finance</v>
      </c>
      <c r="E1337" s="24" t="str">
        <f aca="false">Monthly!$D$46</f>
        <v>Audit &amp; tax</v>
      </c>
      <c r="F1337" s="24" t="str">
        <f aca="false">Monthly!$A$46</f>
        <v>Audit, tax, Form 990 support (affiliates billed separately)</v>
      </c>
      <c r="G1337" s="20" t="n">
        <f aca="false">Monthly!I$46</f>
        <v>0</v>
      </c>
      <c r="H1337" s="24" t="str">
        <f aca="false">ScenarioName</f>
        <v>Base</v>
      </c>
    </row>
    <row r="1338" customFormat="false" ht="15" hidden="false" customHeight="false" outlineLevel="0" collapsed="false">
      <c r="A1338" s="8" t="n">
        <v>5</v>
      </c>
      <c r="B1338" s="39" t="n">
        <f aca="false">EDATE(StartDate,A1338-1)</f>
        <v>46508</v>
      </c>
      <c r="C1338" s="24" t="str">
        <f aca="false">Monthly!$B$46</f>
        <v>EnergyWave, Inc.</v>
      </c>
      <c r="D1338" s="24" t="str">
        <f aca="false">Monthly!$C$46</f>
        <v>Finance</v>
      </c>
      <c r="E1338" s="24" t="str">
        <f aca="false">Monthly!$D$46</f>
        <v>Audit &amp; tax</v>
      </c>
      <c r="F1338" s="24" t="str">
        <f aca="false">Monthly!$A$46</f>
        <v>Audit, tax, Form 990 support (affiliates billed separately)</v>
      </c>
      <c r="G1338" s="20" t="n">
        <f aca="false">Monthly!J$46</f>
        <v>0</v>
      </c>
      <c r="H1338" s="24" t="str">
        <f aca="false">ScenarioName</f>
        <v>Base</v>
      </c>
    </row>
    <row r="1339" customFormat="false" ht="15" hidden="false" customHeight="false" outlineLevel="0" collapsed="false">
      <c r="A1339" s="8" t="n">
        <v>6</v>
      </c>
      <c r="B1339" s="39" t="n">
        <f aca="false">EDATE(StartDate,A1339-1)</f>
        <v>46539</v>
      </c>
      <c r="C1339" s="24" t="str">
        <f aca="false">Monthly!$B$46</f>
        <v>EnergyWave, Inc.</v>
      </c>
      <c r="D1339" s="24" t="str">
        <f aca="false">Monthly!$C$46</f>
        <v>Finance</v>
      </c>
      <c r="E1339" s="24" t="str">
        <f aca="false">Monthly!$D$46</f>
        <v>Audit &amp; tax</v>
      </c>
      <c r="F1339" s="24" t="str">
        <f aca="false">Monthly!$A$46</f>
        <v>Audit, tax, Form 990 support (affiliates billed separately)</v>
      </c>
      <c r="G1339" s="20" t="n">
        <f aca="false">Monthly!K$46</f>
        <v>0</v>
      </c>
      <c r="H1339" s="24" t="str">
        <f aca="false">ScenarioName</f>
        <v>Base</v>
      </c>
    </row>
    <row r="1340" customFormat="false" ht="15" hidden="false" customHeight="false" outlineLevel="0" collapsed="false">
      <c r="A1340" s="8" t="n">
        <v>7</v>
      </c>
      <c r="B1340" s="39" t="n">
        <f aca="false">EDATE(StartDate,A1340-1)</f>
        <v>46569</v>
      </c>
      <c r="C1340" s="24" t="str">
        <f aca="false">Monthly!$B$46</f>
        <v>EnergyWave, Inc.</v>
      </c>
      <c r="D1340" s="24" t="str">
        <f aca="false">Monthly!$C$46</f>
        <v>Finance</v>
      </c>
      <c r="E1340" s="24" t="str">
        <f aca="false">Monthly!$D$46</f>
        <v>Audit &amp; tax</v>
      </c>
      <c r="F1340" s="24" t="str">
        <f aca="false">Monthly!$A$46</f>
        <v>Audit, tax, Form 990 support (affiliates billed separately)</v>
      </c>
      <c r="G1340" s="20" t="n">
        <f aca="false">Monthly!L$46</f>
        <v>0</v>
      </c>
      <c r="H1340" s="24" t="str">
        <f aca="false">ScenarioName</f>
        <v>Base</v>
      </c>
    </row>
    <row r="1341" customFormat="false" ht="15" hidden="false" customHeight="false" outlineLevel="0" collapsed="false">
      <c r="A1341" s="8" t="n">
        <v>8</v>
      </c>
      <c r="B1341" s="39" t="n">
        <f aca="false">EDATE(StartDate,A1341-1)</f>
        <v>46600</v>
      </c>
      <c r="C1341" s="24" t="str">
        <f aca="false">Monthly!$B$46</f>
        <v>EnergyWave, Inc.</v>
      </c>
      <c r="D1341" s="24" t="str">
        <f aca="false">Monthly!$C$46</f>
        <v>Finance</v>
      </c>
      <c r="E1341" s="24" t="str">
        <f aca="false">Monthly!$D$46</f>
        <v>Audit &amp; tax</v>
      </c>
      <c r="F1341" s="24" t="str">
        <f aca="false">Monthly!$A$46</f>
        <v>Audit, tax, Form 990 support (affiliates billed separately)</v>
      </c>
      <c r="G1341" s="20" t="n">
        <f aca="false">Monthly!M$46</f>
        <v>0</v>
      </c>
      <c r="H1341" s="24" t="str">
        <f aca="false">ScenarioName</f>
        <v>Base</v>
      </c>
    </row>
    <row r="1342" customFormat="false" ht="15" hidden="false" customHeight="false" outlineLevel="0" collapsed="false">
      <c r="A1342" s="8" t="n">
        <v>9</v>
      </c>
      <c r="B1342" s="39" t="n">
        <f aca="false">EDATE(StartDate,A1342-1)</f>
        <v>46631</v>
      </c>
      <c r="C1342" s="24" t="str">
        <f aca="false">Monthly!$B$46</f>
        <v>EnergyWave, Inc.</v>
      </c>
      <c r="D1342" s="24" t="str">
        <f aca="false">Monthly!$C$46</f>
        <v>Finance</v>
      </c>
      <c r="E1342" s="24" t="str">
        <f aca="false">Monthly!$D$46</f>
        <v>Audit &amp; tax</v>
      </c>
      <c r="F1342" s="24" t="str">
        <f aca="false">Monthly!$A$46</f>
        <v>Audit, tax, Form 990 support (affiliates billed separately)</v>
      </c>
      <c r="G1342" s="20" t="n">
        <f aca="false">Monthly!N$46</f>
        <v>0</v>
      </c>
      <c r="H1342" s="24" t="str">
        <f aca="false">ScenarioName</f>
        <v>Base</v>
      </c>
    </row>
    <row r="1343" customFormat="false" ht="15" hidden="false" customHeight="false" outlineLevel="0" collapsed="false">
      <c r="A1343" s="8" t="n">
        <v>10</v>
      </c>
      <c r="B1343" s="39" t="n">
        <f aca="false">EDATE(StartDate,A1343-1)</f>
        <v>46661</v>
      </c>
      <c r="C1343" s="24" t="str">
        <f aca="false">Monthly!$B$46</f>
        <v>EnergyWave, Inc.</v>
      </c>
      <c r="D1343" s="24" t="str">
        <f aca="false">Monthly!$C$46</f>
        <v>Finance</v>
      </c>
      <c r="E1343" s="24" t="str">
        <f aca="false">Monthly!$D$46</f>
        <v>Audit &amp; tax</v>
      </c>
      <c r="F1343" s="24" t="str">
        <f aca="false">Monthly!$A$46</f>
        <v>Audit, tax, Form 990 support (affiliates billed separately)</v>
      </c>
      <c r="G1343" s="20" t="n">
        <f aca="false">Monthly!O$46</f>
        <v>0</v>
      </c>
      <c r="H1343" s="24" t="str">
        <f aca="false">ScenarioName</f>
        <v>Base</v>
      </c>
    </row>
    <row r="1344" customFormat="false" ht="15" hidden="false" customHeight="false" outlineLevel="0" collapsed="false">
      <c r="A1344" s="8" t="n">
        <v>11</v>
      </c>
      <c r="B1344" s="39" t="n">
        <f aca="false">EDATE(StartDate,A1344-1)</f>
        <v>46692</v>
      </c>
      <c r="C1344" s="24" t="str">
        <f aca="false">Monthly!$B$46</f>
        <v>EnergyWave, Inc.</v>
      </c>
      <c r="D1344" s="24" t="str">
        <f aca="false">Monthly!$C$46</f>
        <v>Finance</v>
      </c>
      <c r="E1344" s="24" t="str">
        <f aca="false">Monthly!$D$46</f>
        <v>Audit &amp; tax</v>
      </c>
      <c r="F1344" s="24" t="str">
        <f aca="false">Monthly!$A$46</f>
        <v>Audit, tax, Form 990 support (affiliates billed separately)</v>
      </c>
      <c r="G1344" s="20" t="n">
        <f aca="false">Monthly!P$46</f>
        <v>0</v>
      </c>
      <c r="H1344" s="24" t="str">
        <f aca="false">ScenarioName</f>
        <v>Base</v>
      </c>
    </row>
    <row r="1345" customFormat="false" ht="15" hidden="false" customHeight="false" outlineLevel="0" collapsed="false">
      <c r="A1345" s="8" t="n">
        <v>12</v>
      </c>
      <c r="B1345" s="39" t="n">
        <f aca="false">EDATE(StartDate,A1345-1)</f>
        <v>46722</v>
      </c>
      <c r="C1345" s="24" t="str">
        <f aca="false">Monthly!$B$46</f>
        <v>EnergyWave, Inc.</v>
      </c>
      <c r="D1345" s="24" t="str">
        <f aca="false">Monthly!$C$46</f>
        <v>Finance</v>
      </c>
      <c r="E1345" s="24" t="str">
        <f aca="false">Monthly!$D$46</f>
        <v>Audit &amp; tax</v>
      </c>
      <c r="F1345" s="24" t="str">
        <f aca="false">Monthly!$A$46</f>
        <v>Audit, tax, Form 990 support (affiliates billed separately)</v>
      </c>
      <c r="G1345" s="20" t="n">
        <f aca="false">Monthly!Q$46</f>
        <v>3333.33333333333</v>
      </c>
      <c r="H1345" s="24" t="str">
        <f aca="false">ScenarioName</f>
        <v>Base</v>
      </c>
    </row>
    <row r="1346" customFormat="false" ht="15" hidden="false" customHeight="false" outlineLevel="0" collapsed="false">
      <c r="A1346" s="8" t="n">
        <v>13</v>
      </c>
      <c r="B1346" s="39" t="n">
        <f aca="false">EDATE(StartDate,A1346-1)</f>
        <v>46753</v>
      </c>
      <c r="C1346" s="24" t="str">
        <f aca="false">Monthly!$B$46</f>
        <v>EnergyWave, Inc.</v>
      </c>
      <c r="D1346" s="24" t="str">
        <f aca="false">Monthly!$C$46</f>
        <v>Finance</v>
      </c>
      <c r="E1346" s="24" t="str">
        <f aca="false">Monthly!$D$46</f>
        <v>Audit &amp; tax</v>
      </c>
      <c r="F1346" s="24" t="str">
        <f aca="false">Monthly!$A$46</f>
        <v>Audit, tax, Form 990 support (affiliates billed separately)</v>
      </c>
      <c r="G1346" s="20" t="n">
        <f aca="false">Monthly!R$46</f>
        <v>3333.33333333333</v>
      </c>
      <c r="H1346" s="24" t="str">
        <f aca="false">ScenarioName</f>
        <v>Base</v>
      </c>
    </row>
    <row r="1347" customFormat="false" ht="15" hidden="false" customHeight="false" outlineLevel="0" collapsed="false">
      <c r="A1347" s="8" t="n">
        <v>14</v>
      </c>
      <c r="B1347" s="39" t="n">
        <f aca="false">EDATE(StartDate,A1347-1)</f>
        <v>46784</v>
      </c>
      <c r="C1347" s="24" t="str">
        <f aca="false">Monthly!$B$46</f>
        <v>EnergyWave, Inc.</v>
      </c>
      <c r="D1347" s="24" t="str">
        <f aca="false">Monthly!$C$46</f>
        <v>Finance</v>
      </c>
      <c r="E1347" s="24" t="str">
        <f aca="false">Monthly!$D$46</f>
        <v>Audit &amp; tax</v>
      </c>
      <c r="F1347" s="24" t="str">
        <f aca="false">Monthly!$A$46</f>
        <v>Audit, tax, Form 990 support (affiliates billed separately)</v>
      </c>
      <c r="G1347" s="20" t="n">
        <f aca="false">Monthly!S$46</f>
        <v>3333.33333333333</v>
      </c>
      <c r="H1347" s="24" t="str">
        <f aca="false">ScenarioName</f>
        <v>Base</v>
      </c>
    </row>
    <row r="1348" customFormat="false" ht="15" hidden="false" customHeight="false" outlineLevel="0" collapsed="false">
      <c r="A1348" s="8" t="n">
        <v>15</v>
      </c>
      <c r="B1348" s="39" t="n">
        <f aca="false">EDATE(StartDate,A1348-1)</f>
        <v>46813</v>
      </c>
      <c r="C1348" s="24" t="str">
        <f aca="false">Monthly!$B$46</f>
        <v>EnergyWave, Inc.</v>
      </c>
      <c r="D1348" s="24" t="str">
        <f aca="false">Monthly!$C$46</f>
        <v>Finance</v>
      </c>
      <c r="E1348" s="24" t="str">
        <f aca="false">Monthly!$D$46</f>
        <v>Audit &amp; tax</v>
      </c>
      <c r="F1348" s="24" t="str">
        <f aca="false">Monthly!$A$46</f>
        <v>Audit, tax, Form 990 support (affiliates billed separately)</v>
      </c>
      <c r="G1348" s="20" t="n">
        <f aca="false">Monthly!T$46</f>
        <v>3333.33333333333</v>
      </c>
      <c r="H1348" s="24" t="str">
        <f aca="false">ScenarioName</f>
        <v>Base</v>
      </c>
    </row>
    <row r="1349" customFormat="false" ht="15" hidden="false" customHeight="false" outlineLevel="0" collapsed="false">
      <c r="A1349" s="8" t="n">
        <v>16</v>
      </c>
      <c r="B1349" s="39" t="n">
        <f aca="false">EDATE(StartDate,A1349-1)</f>
        <v>46844</v>
      </c>
      <c r="C1349" s="24" t="str">
        <f aca="false">Monthly!$B$46</f>
        <v>EnergyWave, Inc.</v>
      </c>
      <c r="D1349" s="24" t="str">
        <f aca="false">Monthly!$C$46</f>
        <v>Finance</v>
      </c>
      <c r="E1349" s="24" t="str">
        <f aca="false">Monthly!$D$46</f>
        <v>Audit &amp; tax</v>
      </c>
      <c r="F1349" s="24" t="str">
        <f aca="false">Monthly!$A$46</f>
        <v>Audit, tax, Form 990 support (affiliates billed separately)</v>
      </c>
      <c r="G1349" s="20" t="n">
        <f aca="false">Monthly!U$46</f>
        <v>3333.33333333333</v>
      </c>
      <c r="H1349" s="24" t="str">
        <f aca="false">ScenarioName</f>
        <v>Base</v>
      </c>
    </row>
    <row r="1350" customFormat="false" ht="15" hidden="false" customHeight="false" outlineLevel="0" collapsed="false">
      <c r="A1350" s="8" t="n">
        <v>17</v>
      </c>
      <c r="B1350" s="39" t="n">
        <f aca="false">EDATE(StartDate,A1350-1)</f>
        <v>46874</v>
      </c>
      <c r="C1350" s="24" t="str">
        <f aca="false">Monthly!$B$46</f>
        <v>EnergyWave, Inc.</v>
      </c>
      <c r="D1350" s="24" t="str">
        <f aca="false">Monthly!$C$46</f>
        <v>Finance</v>
      </c>
      <c r="E1350" s="24" t="str">
        <f aca="false">Monthly!$D$46</f>
        <v>Audit &amp; tax</v>
      </c>
      <c r="F1350" s="24" t="str">
        <f aca="false">Monthly!$A$46</f>
        <v>Audit, tax, Form 990 support (affiliates billed separately)</v>
      </c>
      <c r="G1350" s="20" t="n">
        <f aca="false">Monthly!V$46</f>
        <v>3333.33333333333</v>
      </c>
      <c r="H1350" s="24" t="str">
        <f aca="false">ScenarioName</f>
        <v>Base</v>
      </c>
    </row>
    <row r="1351" customFormat="false" ht="15" hidden="false" customHeight="false" outlineLevel="0" collapsed="false">
      <c r="A1351" s="8" t="n">
        <v>18</v>
      </c>
      <c r="B1351" s="39" t="n">
        <f aca="false">EDATE(StartDate,A1351-1)</f>
        <v>46905</v>
      </c>
      <c r="C1351" s="24" t="str">
        <f aca="false">Monthly!$B$46</f>
        <v>EnergyWave, Inc.</v>
      </c>
      <c r="D1351" s="24" t="str">
        <f aca="false">Monthly!$C$46</f>
        <v>Finance</v>
      </c>
      <c r="E1351" s="24" t="str">
        <f aca="false">Monthly!$D$46</f>
        <v>Audit &amp; tax</v>
      </c>
      <c r="F1351" s="24" t="str">
        <f aca="false">Monthly!$A$46</f>
        <v>Audit, tax, Form 990 support (affiliates billed separately)</v>
      </c>
      <c r="G1351" s="20" t="n">
        <f aca="false">Monthly!W$46</f>
        <v>3333.33333333333</v>
      </c>
      <c r="H1351" s="24" t="str">
        <f aca="false">ScenarioName</f>
        <v>Base</v>
      </c>
    </row>
    <row r="1352" customFormat="false" ht="15" hidden="false" customHeight="false" outlineLevel="0" collapsed="false">
      <c r="A1352" s="8" t="n">
        <v>19</v>
      </c>
      <c r="B1352" s="39" t="n">
        <f aca="false">EDATE(StartDate,A1352-1)</f>
        <v>46935</v>
      </c>
      <c r="C1352" s="24" t="str">
        <f aca="false">Monthly!$B$46</f>
        <v>EnergyWave, Inc.</v>
      </c>
      <c r="D1352" s="24" t="str">
        <f aca="false">Monthly!$C$46</f>
        <v>Finance</v>
      </c>
      <c r="E1352" s="24" t="str">
        <f aca="false">Monthly!$D$46</f>
        <v>Audit &amp; tax</v>
      </c>
      <c r="F1352" s="24" t="str">
        <f aca="false">Monthly!$A$46</f>
        <v>Audit, tax, Form 990 support (affiliates billed separately)</v>
      </c>
      <c r="G1352" s="20" t="n">
        <f aca="false">Monthly!X$46</f>
        <v>3333.33333333333</v>
      </c>
      <c r="H1352" s="24" t="str">
        <f aca="false">ScenarioName</f>
        <v>Base</v>
      </c>
    </row>
    <row r="1353" customFormat="false" ht="15" hidden="false" customHeight="false" outlineLevel="0" collapsed="false">
      <c r="A1353" s="8" t="n">
        <v>20</v>
      </c>
      <c r="B1353" s="39" t="n">
        <f aca="false">EDATE(StartDate,A1353-1)</f>
        <v>46966</v>
      </c>
      <c r="C1353" s="24" t="str">
        <f aca="false">Monthly!$B$46</f>
        <v>EnergyWave, Inc.</v>
      </c>
      <c r="D1353" s="24" t="str">
        <f aca="false">Monthly!$C$46</f>
        <v>Finance</v>
      </c>
      <c r="E1353" s="24" t="str">
        <f aca="false">Monthly!$D$46</f>
        <v>Audit &amp; tax</v>
      </c>
      <c r="F1353" s="24" t="str">
        <f aca="false">Monthly!$A$46</f>
        <v>Audit, tax, Form 990 support (affiliates billed separately)</v>
      </c>
      <c r="G1353" s="20" t="n">
        <f aca="false">Monthly!Y$46</f>
        <v>3333.33333333333</v>
      </c>
      <c r="H1353" s="24" t="str">
        <f aca="false">ScenarioName</f>
        <v>Base</v>
      </c>
    </row>
    <row r="1354" customFormat="false" ht="15" hidden="false" customHeight="false" outlineLevel="0" collapsed="false">
      <c r="A1354" s="8" t="n">
        <v>21</v>
      </c>
      <c r="B1354" s="39" t="n">
        <f aca="false">EDATE(StartDate,A1354-1)</f>
        <v>46997</v>
      </c>
      <c r="C1354" s="24" t="str">
        <f aca="false">Monthly!$B$46</f>
        <v>EnergyWave, Inc.</v>
      </c>
      <c r="D1354" s="24" t="str">
        <f aca="false">Monthly!$C$46</f>
        <v>Finance</v>
      </c>
      <c r="E1354" s="24" t="str">
        <f aca="false">Monthly!$D$46</f>
        <v>Audit &amp; tax</v>
      </c>
      <c r="F1354" s="24" t="str">
        <f aca="false">Monthly!$A$46</f>
        <v>Audit, tax, Form 990 support (affiliates billed separately)</v>
      </c>
      <c r="G1354" s="20" t="n">
        <f aca="false">Monthly!Z$46</f>
        <v>3333.33333333333</v>
      </c>
      <c r="H1354" s="24" t="str">
        <f aca="false">ScenarioName</f>
        <v>Base</v>
      </c>
    </row>
    <row r="1355" customFormat="false" ht="15" hidden="false" customHeight="false" outlineLevel="0" collapsed="false">
      <c r="A1355" s="8" t="n">
        <v>22</v>
      </c>
      <c r="B1355" s="39" t="n">
        <f aca="false">EDATE(StartDate,A1355-1)</f>
        <v>47027</v>
      </c>
      <c r="C1355" s="24" t="str">
        <f aca="false">Monthly!$B$46</f>
        <v>EnergyWave, Inc.</v>
      </c>
      <c r="D1355" s="24" t="str">
        <f aca="false">Monthly!$C$46</f>
        <v>Finance</v>
      </c>
      <c r="E1355" s="24" t="str">
        <f aca="false">Monthly!$D$46</f>
        <v>Audit &amp; tax</v>
      </c>
      <c r="F1355" s="24" t="str">
        <f aca="false">Monthly!$A$46</f>
        <v>Audit, tax, Form 990 support (affiliates billed separately)</v>
      </c>
      <c r="G1355" s="20" t="n">
        <f aca="false">Monthly!AA$46</f>
        <v>3333.33333333333</v>
      </c>
      <c r="H1355" s="24" t="str">
        <f aca="false">ScenarioName</f>
        <v>Base</v>
      </c>
    </row>
    <row r="1356" customFormat="false" ht="15" hidden="false" customHeight="false" outlineLevel="0" collapsed="false">
      <c r="A1356" s="8" t="n">
        <v>23</v>
      </c>
      <c r="B1356" s="39" t="n">
        <f aca="false">EDATE(StartDate,A1356-1)</f>
        <v>47058</v>
      </c>
      <c r="C1356" s="24" t="str">
        <f aca="false">Monthly!$B$46</f>
        <v>EnergyWave, Inc.</v>
      </c>
      <c r="D1356" s="24" t="str">
        <f aca="false">Monthly!$C$46</f>
        <v>Finance</v>
      </c>
      <c r="E1356" s="24" t="str">
        <f aca="false">Monthly!$D$46</f>
        <v>Audit &amp; tax</v>
      </c>
      <c r="F1356" s="24" t="str">
        <f aca="false">Monthly!$A$46</f>
        <v>Audit, tax, Form 990 support (affiliates billed separately)</v>
      </c>
      <c r="G1356" s="20" t="n">
        <f aca="false">Monthly!AB$46</f>
        <v>3333.33333333333</v>
      </c>
      <c r="H1356" s="24" t="str">
        <f aca="false">ScenarioName</f>
        <v>Base</v>
      </c>
    </row>
    <row r="1357" customFormat="false" ht="15" hidden="false" customHeight="false" outlineLevel="0" collapsed="false">
      <c r="A1357" s="8" t="n">
        <v>24</v>
      </c>
      <c r="B1357" s="39" t="n">
        <f aca="false">EDATE(StartDate,A1357-1)</f>
        <v>47088</v>
      </c>
      <c r="C1357" s="24" t="str">
        <f aca="false">Monthly!$B$46</f>
        <v>EnergyWave, Inc.</v>
      </c>
      <c r="D1357" s="24" t="str">
        <f aca="false">Monthly!$C$46</f>
        <v>Finance</v>
      </c>
      <c r="E1357" s="24" t="str">
        <f aca="false">Monthly!$D$46</f>
        <v>Audit &amp; tax</v>
      </c>
      <c r="F1357" s="24" t="str">
        <f aca="false">Monthly!$A$46</f>
        <v>Audit, tax, Form 990 support (affiliates billed separately)</v>
      </c>
      <c r="G1357" s="20" t="n">
        <f aca="false">Monthly!AC$46</f>
        <v>3333.33333333333</v>
      </c>
      <c r="H1357" s="24" t="str">
        <f aca="false">ScenarioName</f>
        <v>Base</v>
      </c>
    </row>
    <row r="1358" customFormat="false" ht="15" hidden="false" customHeight="false" outlineLevel="0" collapsed="false">
      <c r="A1358" s="8" t="n">
        <v>25</v>
      </c>
      <c r="B1358" s="39" t="n">
        <f aca="false">EDATE(StartDate,A1358-1)</f>
        <v>47119</v>
      </c>
      <c r="C1358" s="24" t="str">
        <f aca="false">Monthly!$B$46</f>
        <v>EnergyWave, Inc.</v>
      </c>
      <c r="D1358" s="24" t="str">
        <f aca="false">Monthly!$C$46</f>
        <v>Finance</v>
      </c>
      <c r="E1358" s="24" t="str">
        <f aca="false">Monthly!$D$46</f>
        <v>Audit &amp; tax</v>
      </c>
      <c r="F1358" s="24" t="str">
        <f aca="false">Monthly!$A$46</f>
        <v>Audit, tax, Form 990 support (affiliates billed separately)</v>
      </c>
      <c r="G1358" s="20" t="n">
        <f aca="false">Monthly!AD$46</f>
        <v>3333.33333333333</v>
      </c>
      <c r="H1358" s="24" t="str">
        <f aca="false">ScenarioName</f>
        <v>Base</v>
      </c>
    </row>
    <row r="1359" customFormat="false" ht="15" hidden="false" customHeight="false" outlineLevel="0" collapsed="false">
      <c r="A1359" s="8" t="n">
        <v>26</v>
      </c>
      <c r="B1359" s="39" t="n">
        <f aca="false">EDATE(StartDate,A1359-1)</f>
        <v>47150</v>
      </c>
      <c r="C1359" s="24" t="str">
        <f aca="false">Monthly!$B$46</f>
        <v>EnergyWave, Inc.</v>
      </c>
      <c r="D1359" s="24" t="str">
        <f aca="false">Monthly!$C$46</f>
        <v>Finance</v>
      </c>
      <c r="E1359" s="24" t="str">
        <f aca="false">Monthly!$D$46</f>
        <v>Audit &amp; tax</v>
      </c>
      <c r="F1359" s="24" t="str">
        <f aca="false">Monthly!$A$46</f>
        <v>Audit, tax, Form 990 support (affiliates billed separately)</v>
      </c>
      <c r="G1359" s="20" t="n">
        <f aca="false">Monthly!AE$46</f>
        <v>3333.33333333333</v>
      </c>
      <c r="H1359" s="24" t="str">
        <f aca="false">ScenarioName</f>
        <v>Base</v>
      </c>
    </row>
    <row r="1360" customFormat="false" ht="15" hidden="false" customHeight="false" outlineLevel="0" collapsed="false">
      <c r="A1360" s="8" t="n">
        <v>27</v>
      </c>
      <c r="B1360" s="39" t="n">
        <f aca="false">EDATE(StartDate,A1360-1)</f>
        <v>47178</v>
      </c>
      <c r="C1360" s="24" t="str">
        <f aca="false">Monthly!$B$46</f>
        <v>EnergyWave, Inc.</v>
      </c>
      <c r="D1360" s="24" t="str">
        <f aca="false">Monthly!$C$46</f>
        <v>Finance</v>
      </c>
      <c r="E1360" s="24" t="str">
        <f aca="false">Monthly!$D$46</f>
        <v>Audit &amp; tax</v>
      </c>
      <c r="F1360" s="24" t="str">
        <f aca="false">Monthly!$A$46</f>
        <v>Audit, tax, Form 990 support (affiliates billed separately)</v>
      </c>
      <c r="G1360" s="20" t="n">
        <f aca="false">Monthly!AF$46</f>
        <v>3333.33333333333</v>
      </c>
      <c r="H1360" s="24" t="str">
        <f aca="false">ScenarioName</f>
        <v>Base</v>
      </c>
    </row>
    <row r="1361" customFormat="false" ht="15" hidden="false" customHeight="false" outlineLevel="0" collapsed="false">
      <c r="A1361" s="8" t="n">
        <v>28</v>
      </c>
      <c r="B1361" s="39" t="n">
        <f aca="false">EDATE(StartDate,A1361-1)</f>
        <v>47209</v>
      </c>
      <c r="C1361" s="24" t="str">
        <f aca="false">Monthly!$B$46</f>
        <v>EnergyWave, Inc.</v>
      </c>
      <c r="D1361" s="24" t="str">
        <f aca="false">Monthly!$C$46</f>
        <v>Finance</v>
      </c>
      <c r="E1361" s="24" t="str">
        <f aca="false">Monthly!$D$46</f>
        <v>Audit &amp; tax</v>
      </c>
      <c r="F1361" s="24" t="str">
        <f aca="false">Monthly!$A$46</f>
        <v>Audit, tax, Form 990 support (affiliates billed separately)</v>
      </c>
      <c r="G1361" s="20" t="n">
        <f aca="false">Monthly!AG$46</f>
        <v>3333.33333333333</v>
      </c>
      <c r="H1361" s="24" t="str">
        <f aca="false">ScenarioName</f>
        <v>Base</v>
      </c>
    </row>
    <row r="1362" customFormat="false" ht="15" hidden="false" customHeight="false" outlineLevel="0" collapsed="false">
      <c r="A1362" s="8" t="n">
        <v>29</v>
      </c>
      <c r="B1362" s="39" t="n">
        <f aca="false">EDATE(StartDate,A1362-1)</f>
        <v>47239</v>
      </c>
      <c r="C1362" s="24" t="str">
        <f aca="false">Monthly!$B$46</f>
        <v>EnergyWave, Inc.</v>
      </c>
      <c r="D1362" s="24" t="str">
        <f aca="false">Monthly!$C$46</f>
        <v>Finance</v>
      </c>
      <c r="E1362" s="24" t="str">
        <f aca="false">Monthly!$D$46</f>
        <v>Audit &amp; tax</v>
      </c>
      <c r="F1362" s="24" t="str">
        <f aca="false">Monthly!$A$46</f>
        <v>Audit, tax, Form 990 support (affiliates billed separately)</v>
      </c>
      <c r="G1362" s="20" t="n">
        <f aca="false">Monthly!AH$46</f>
        <v>3333.33333333333</v>
      </c>
      <c r="H1362" s="24" t="str">
        <f aca="false">ScenarioName</f>
        <v>Base</v>
      </c>
    </row>
    <row r="1363" customFormat="false" ht="15" hidden="false" customHeight="false" outlineLevel="0" collapsed="false">
      <c r="A1363" s="8" t="n">
        <v>30</v>
      </c>
      <c r="B1363" s="39" t="n">
        <f aca="false">EDATE(StartDate,A1363-1)</f>
        <v>47270</v>
      </c>
      <c r="C1363" s="24" t="str">
        <f aca="false">Monthly!$B$46</f>
        <v>EnergyWave, Inc.</v>
      </c>
      <c r="D1363" s="24" t="str">
        <f aca="false">Monthly!$C$46</f>
        <v>Finance</v>
      </c>
      <c r="E1363" s="24" t="str">
        <f aca="false">Monthly!$D$46</f>
        <v>Audit &amp; tax</v>
      </c>
      <c r="F1363" s="24" t="str">
        <f aca="false">Monthly!$A$46</f>
        <v>Audit, tax, Form 990 support (affiliates billed separately)</v>
      </c>
      <c r="G1363" s="20" t="n">
        <f aca="false">Monthly!AI$46</f>
        <v>3333.33333333333</v>
      </c>
      <c r="H1363" s="24" t="str">
        <f aca="false">ScenarioName</f>
        <v>Base</v>
      </c>
    </row>
    <row r="1364" customFormat="false" ht="15" hidden="false" customHeight="false" outlineLevel="0" collapsed="false">
      <c r="A1364" s="8" t="n">
        <v>31</v>
      </c>
      <c r="B1364" s="39" t="n">
        <f aca="false">EDATE(StartDate,A1364-1)</f>
        <v>47300</v>
      </c>
      <c r="C1364" s="24" t="str">
        <f aca="false">Monthly!$B$46</f>
        <v>EnergyWave, Inc.</v>
      </c>
      <c r="D1364" s="24" t="str">
        <f aca="false">Monthly!$C$46</f>
        <v>Finance</v>
      </c>
      <c r="E1364" s="24" t="str">
        <f aca="false">Monthly!$D$46</f>
        <v>Audit &amp; tax</v>
      </c>
      <c r="F1364" s="24" t="str">
        <f aca="false">Monthly!$A$46</f>
        <v>Audit, tax, Form 990 support (affiliates billed separately)</v>
      </c>
      <c r="G1364" s="20" t="n">
        <f aca="false">Monthly!AJ$46</f>
        <v>3333.33333333333</v>
      </c>
      <c r="H1364" s="24" t="str">
        <f aca="false">ScenarioName</f>
        <v>Base</v>
      </c>
    </row>
    <row r="1365" customFormat="false" ht="15" hidden="false" customHeight="false" outlineLevel="0" collapsed="false">
      <c r="A1365" s="8" t="n">
        <v>32</v>
      </c>
      <c r="B1365" s="39" t="n">
        <f aca="false">EDATE(StartDate,A1365-1)</f>
        <v>47331</v>
      </c>
      <c r="C1365" s="24" t="str">
        <f aca="false">Monthly!$B$46</f>
        <v>EnergyWave, Inc.</v>
      </c>
      <c r="D1365" s="24" t="str">
        <f aca="false">Monthly!$C$46</f>
        <v>Finance</v>
      </c>
      <c r="E1365" s="24" t="str">
        <f aca="false">Monthly!$D$46</f>
        <v>Audit &amp; tax</v>
      </c>
      <c r="F1365" s="24" t="str">
        <f aca="false">Monthly!$A$46</f>
        <v>Audit, tax, Form 990 support (affiliates billed separately)</v>
      </c>
      <c r="G1365" s="20" t="n">
        <f aca="false">Monthly!AK$46</f>
        <v>3333.33333333333</v>
      </c>
      <c r="H1365" s="24" t="str">
        <f aca="false">ScenarioName</f>
        <v>Base</v>
      </c>
    </row>
    <row r="1366" customFormat="false" ht="15" hidden="false" customHeight="false" outlineLevel="0" collapsed="false">
      <c r="A1366" s="8" t="n">
        <v>33</v>
      </c>
      <c r="B1366" s="39" t="n">
        <f aca="false">EDATE(StartDate,A1366-1)</f>
        <v>47362</v>
      </c>
      <c r="C1366" s="24" t="str">
        <f aca="false">Monthly!$B$46</f>
        <v>EnergyWave, Inc.</v>
      </c>
      <c r="D1366" s="24" t="str">
        <f aca="false">Monthly!$C$46</f>
        <v>Finance</v>
      </c>
      <c r="E1366" s="24" t="str">
        <f aca="false">Monthly!$D$46</f>
        <v>Audit &amp; tax</v>
      </c>
      <c r="F1366" s="24" t="str">
        <f aca="false">Monthly!$A$46</f>
        <v>Audit, tax, Form 990 support (affiliates billed separately)</v>
      </c>
      <c r="G1366" s="20" t="n">
        <f aca="false">Monthly!AL$46</f>
        <v>3333.33333333333</v>
      </c>
      <c r="H1366" s="24" t="str">
        <f aca="false">ScenarioName</f>
        <v>Base</v>
      </c>
    </row>
    <row r="1367" customFormat="false" ht="15" hidden="false" customHeight="false" outlineLevel="0" collapsed="false">
      <c r="A1367" s="8" t="n">
        <v>34</v>
      </c>
      <c r="B1367" s="39" t="n">
        <f aca="false">EDATE(StartDate,A1367-1)</f>
        <v>47392</v>
      </c>
      <c r="C1367" s="24" t="str">
        <f aca="false">Monthly!$B$46</f>
        <v>EnergyWave, Inc.</v>
      </c>
      <c r="D1367" s="24" t="str">
        <f aca="false">Monthly!$C$46</f>
        <v>Finance</v>
      </c>
      <c r="E1367" s="24" t="str">
        <f aca="false">Monthly!$D$46</f>
        <v>Audit &amp; tax</v>
      </c>
      <c r="F1367" s="24" t="str">
        <f aca="false">Monthly!$A$46</f>
        <v>Audit, tax, Form 990 support (affiliates billed separately)</v>
      </c>
      <c r="G1367" s="20" t="n">
        <f aca="false">Monthly!AM$46</f>
        <v>3333.33333333333</v>
      </c>
      <c r="H1367" s="24" t="str">
        <f aca="false">ScenarioName</f>
        <v>Base</v>
      </c>
    </row>
    <row r="1368" customFormat="false" ht="15" hidden="false" customHeight="false" outlineLevel="0" collapsed="false">
      <c r="A1368" s="8" t="n">
        <v>35</v>
      </c>
      <c r="B1368" s="39" t="n">
        <f aca="false">EDATE(StartDate,A1368-1)</f>
        <v>47423</v>
      </c>
      <c r="C1368" s="24" t="str">
        <f aca="false">Monthly!$B$46</f>
        <v>EnergyWave, Inc.</v>
      </c>
      <c r="D1368" s="24" t="str">
        <f aca="false">Monthly!$C$46</f>
        <v>Finance</v>
      </c>
      <c r="E1368" s="24" t="str">
        <f aca="false">Monthly!$D$46</f>
        <v>Audit &amp; tax</v>
      </c>
      <c r="F1368" s="24" t="str">
        <f aca="false">Monthly!$A$46</f>
        <v>Audit, tax, Form 990 support (affiliates billed separately)</v>
      </c>
      <c r="G1368" s="20" t="n">
        <f aca="false">Monthly!AN$46</f>
        <v>3333.33333333333</v>
      </c>
      <c r="H1368" s="24" t="str">
        <f aca="false">ScenarioName</f>
        <v>Base</v>
      </c>
    </row>
    <row r="1369" customFormat="false" ht="15" hidden="false" customHeight="false" outlineLevel="0" collapsed="false">
      <c r="A1369" s="8" t="n">
        <v>36</v>
      </c>
      <c r="B1369" s="39" t="n">
        <f aca="false">EDATE(StartDate,A1369-1)</f>
        <v>47453</v>
      </c>
      <c r="C1369" s="24" t="str">
        <f aca="false">Monthly!$B$46</f>
        <v>EnergyWave, Inc.</v>
      </c>
      <c r="D1369" s="24" t="str">
        <f aca="false">Monthly!$C$46</f>
        <v>Finance</v>
      </c>
      <c r="E1369" s="24" t="str">
        <f aca="false">Monthly!$D$46</f>
        <v>Audit &amp; tax</v>
      </c>
      <c r="F1369" s="24" t="str">
        <f aca="false">Monthly!$A$46</f>
        <v>Audit, tax, Form 990 support (affiliates billed separately)</v>
      </c>
      <c r="G1369" s="20" t="n">
        <f aca="false">Monthly!AO$46</f>
        <v>3333.33333333333</v>
      </c>
      <c r="H1369" s="24" t="str">
        <f aca="false">ScenarioName</f>
        <v>Base</v>
      </c>
    </row>
    <row r="1370" customFormat="false" ht="15" hidden="false" customHeight="false" outlineLevel="0" collapsed="false">
      <c r="A1370" s="8" t="n">
        <v>1</v>
      </c>
      <c r="B1370" s="39" t="n">
        <f aca="false">EDATE(StartDate,A1370-1)</f>
        <v>46388</v>
      </c>
      <c r="C1370" s="24" t="str">
        <f aca="false">Monthly!$B$47</f>
        <v>EnergyWave, Inc.</v>
      </c>
      <c r="D1370" s="24" t="str">
        <f aca="false">Monthly!$C$47</f>
        <v>Finance</v>
      </c>
      <c r="E1370" s="24" t="str">
        <f aca="false">Monthly!$D$47</f>
        <v>Systems</v>
      </c>
      <c r="F1370" s="24" t="str">
        <f aca="false">Monthly!$A$47</f>
        <v>Accounting / HR / cap-table systems (QuickBooks or NetSuite, payroll, Carta)</v>
      </c>
      <c r="G1370" s="20" t="n">
        <f aca="false">Monthly!F$47</f>
        <v>1500</v>
      </c>
      <c r="H1370" s="24" t="str">
        <f aca="false">ScenarioName</f>
        <v>Base</v>
      </c>
    </row>
    <row r="1371" customFormat="false" ht="15" hidden="false" customHeight="false" outlineLevel="0" collapsed="false">
      <c r="A1371" s="8" t="n">
        <v>2</v>
      </c>
      <c r="B1371" s="39" t="n">
        <f aca="false">EDATE(StartDate,A1371-1)</f>
        <v>46419</v>
      </c>
      <c r="C1371" s="24" t="str">
        <f aca="false">Monthly!$B$47</f>
        <v>EnergyWave, Inc.</v>
      </c>
      <c r="D1371" s="24" t="str">
        <f aca="false">Monthly!$C$47</f>
        <v>Finance</v>
      </c>
      <c r="E1371" s="24" t="str">
        <f aca="false">Monthly!$D$47</f>
        <v>Systems</v>
      </c>
      <c r="F1371" s="24" t="str">
        <f aca="false">Monthly!$A$47</f>
        <v>Accounting / HR / cap-table systems (QuickBooks or NetSuite, payroll, Carta)</v>
      </c>
      <c r="G1371" s="20" t="n">
        <f aca="false">Monthly!G$47</f>
        <v>1500</v>
      </c>
      <c r="H1371" s="24" t="str">
        <f aca="false">ScenarioName</f>
        <v>Base</v>
      </c>
    </row>
    <row r="1372" customFormat="false" ht="15" hidden="false" customHeight="false" outlineLevel="0" collapsed="false">
      <c r="A1372" s="8" t="n">
        <v>3</v>
      </c>
      <c r="B1372" s="39" t="n">
        <f aca="false">EDATE(StartDate,A1372-1)</f>
        <v>46447</v>
      </c>
      <c r="C1372" s="24" t="str">
        <f aca="false">Monthly!$B$47</f>
        <v>EnergyWave, Inc.</v>
      </c>
      <c r="D1372" s="24" t="str">
        <f aca="false">Monthly!$C$47</f>
        <v>Finance</v>
      </c>
      <c r="E1372" s="24" t="str">
        <f aca="false">Monthly!$D$47</f>
        <v>Systems</v>
      </c>
      <c r="F1372" s="24" t="str">
        <f aca="false">Monthly!$A$47</f>
        <v>Accounting / HR / cap-table systems (QuickBooks or NetSuite, payroll, Carta)</v>
      </c>
      <c r="G1372" s="20" t="n">
        <f aca="false">Monthly!H$47</f>
        <v>1500</v>
      </c>
      <c r="H1372" s="24" t="str">
        <f aca="false">ScenarioName</f>
        <v>Base</v>
      </c>
    </row>
    <row r="1373" customFormat="false" ht="15" hidden="false" customHeight="false" outlineLevel="0" collapsed="false">
      <c r="A1373" s="8" t="n">
        <v>4</v>
      </c>
      <c r="B1373" s="39" t="n">
        <f aca="false">EDATE(StartDate,A1373-1)</f>
        <v>46478</v>
      </c>
      <c r="C1373" s="24" t="str">
        <f aca="false">Monthly!$B$47</f>
        <v>EnergyWave, Inc.</v>
      </c>
      <c r="D1373" s="24" t="str">
        <f aca="false">Monthly!$C$47</f>
        <v>Finance</v>
      </c>
      <c r="E1373" s="24" t="str">
        <f aca="false">Monthly!$D$47</f>
        <v>Systems</v>
      </c>
      <c r="F1373" s="24" t="str">
        <f aca="false">Monthly!$A$47</f>
        <v>Accounting / HR / cap-table systems (QuickBooks or NetSuite, payroll, Carta)</v>
      </c>
      <c r="G1373" s="20" t="n">
        <f aca="false">Monthly!I$47</f>
        <v>1500</v>
      </c>
      <c r="H1373" s="24" t="str">
        <f aca="false">ScenarioName</f>
        <v>Base</v>
      </c>
    </row>
    <row r="1374" customFormat="false" ht="15" hidden="false" customHeight="false" outlineLevel="0" collapsed="false">
      <c r="A1374" s="8" t="n">
        <v>5</v>
      </c>
      <c r="B1374" s="39" t="n">
        <f aca="false">EDATE(StartDate,A1374-1)</f>
        <v>46508</v>
      </c>
      <c r="C1374" s="24" t="str">
        <f aca="false">Monthly!$B$47</f>
        <v>EnergyWave, Inc.</v>
      </c>
      <c r="D1374" s="24" t="str">
        <f aca="false">Monthly!$C$47</f>
        <v>Finance</v>
      </c>
      <c r="E1374" s="24" t="str">
        <f aca="false">Monthly!$D$47</f>
        <v>Systems</v>
      </c>
      <c r="F1374" s="24" t="str">
        <f aca="false">Monthly!$A$47</f>
        <v>Accounting / HR / cap-table systems (QuickBooks or NetSuite, payroll, Carta)</v>
      </c>
      <c r="G1374" s="20" t="n">
        <f aca="false">Monthly!J$47</f>
        <v>1500</v>
      </c>
      <c r="H1374" s="24" t="str">
        <f aca="false">ScenarioName</f>
        <v>Base</v>
      </c>
    </row>
    <row r="1375" customFormat="false" ht="15" hidden="false" customHeight="false" outlineLevel="0" collapsed="false">
      <c r="A1375" s="8" t="n">
        <v>6</v>
      </c>
      <c r="B1375" s="39" t="n">
        <f aca="false">EDATE(StartDate,A1375-1)</f>
        <v>46539</v>
      </c>
      <c r="C1375" s="24" t="str">
        <f aca="false">Monthly!$B$47</f>
        <v>EnergyWave, Inc.</v>
      </c>
      <c r="D1375" s="24" t="str">
        <f aca="false">Monthly!$C$47</f>
        <v>Finance</v>
      </c>
      <c r="E1375" s="24" t="str">
        <f aca="false">Monthly!$D$47</f>
        <v>Systems</v>
      </c>
      <c r="F1375" s="24" t="str">
        <f aca="false">Monthly!$A$47</f>
        <v>Accounting / HR / cap-table systems (QuickBooks or NetSuite, payroll, Carta)</v>
      </c>
      <c r="G1375" s="20" t="n">
        <f aca="false">Monthly!K$47</f>
        <v>1500</v>
      </c>
      <c r="H1375" s="24" t="str">
        <f aca="false">ScenarioName</f>
        <v>Base</v>
      </c>
    </row>
    <row r="1376" customFormat="false" ht="15" hidden="false" customHeight="false" outlineLevel="0" collapsed="false">
      <c r="A1376" s="8" t="n">
        <v>7</v>
      </c>
      <c r="B1376" s="39" t="n">
        <f aca="false">EDATE(StartDate,A1376-1)</f>
        <v>46569</v>
      </c>
      <c r="C1376" s="24" t="str">
        <f aca="false">Monthly!$B$47</f>
        <v>EnergyWave, Inc.</v>
      </c>
      <c r="D1376" s="24" t="str">
        <f aca="false">Monthly!$C$47</f>
        <v>Finance</v>
      </c>
      <c r="E1376" s="24" t="str">
        <f aca="false">Monthly!$D$47</f>
        <v>Systems</v>
      </c>
      <c r="F1376" s="24" t="str">
        <f aca="false">Monthly!$A$47</f>
        <v>Accounting / HR / cap-table systems (QuickBooks or NetSuite, payroll, Carta)</v>
      </c>
      <c r="G1376" s="20" t="n">
        <f aca="false">Monthly!L$47</f>
        <v>1500</v>
      </c>
      <c r="H1376" s="24" t="str">
        <f aca="false">ScenarioName</f>
        <v>Base</v>
      </c>
    </row>
    <row r="1377" customFormat="false" ht="15" hidden="false" customHeight="false" outlineLevel="0" collapsed="false">
      <c r="A1377" s="8" t="n">
        <v>8</v>
      </c>
      <c r="B1377" s="39" t="n">
        <f aca="false">EDATE(StartDate,A1377-1)</f>
        <v>46600</v>
      </c>
      <c r="C1377" s="24" t="str">
        <f aca="false">Monthly!$B$47</f>
        <v>EnergyWave, Inc.</v>
      </c>
      <c r="D1377" s="24" t="str">
        <f aca="false">Monthly!$C$47</f>
        <v>Finance</v>
      </c>
      <c r="E1377" s="24" t="str">
        <f aca="false">Monthly!$D$47</f>
        <v>Systems</v>
      </c>
      <c r="F1377" s="24" t="str">
        <f aca="false">Monthly!$A$47</f>
        <v>Accounting / HR / cap-table systems (QuickBooks or NetSuite, payroll, Carta)</v>
      </c>
      <c r="G1377" s="20" t="n">
        <f aca="false">Monthly!M$47</f>
        <v>1500</v>
      </c>
      <c r="H1377" s="24" t="str">
        <f aca="false">ScenarioName</f>
        <v>Base</v>
      </c>
    </row>
    <row r="1378" customFormat="false" ht="15" hidden="false" customHeight="false" outlineLevel="0" collapsed="false">
      <c r="A1378" s="8" t="n">
        <v>9</v>
      </c>
      <c r="B1378" s="39" t="n">
        <f aca="false">EDATE(StartDate,A1378-1)</f>
        <v>46631</v>
      </c>
      <c r="C1378" s="24" t="str">
        <f aca="false">Monthly!$B$47</f>
        <v>EnergyWave, Inc.</v>
      </c>
      <c r="D1378" s="24" t="str">
        <f aca="false">Monthly!$C$47</f>
        <v>Finance</v>
      </c>
      <c r="E1378" s="24" t="str">
        <f aca="false">Monthly!$D$47</f>
        <v>Systems</v>
      </c>
      <c r="F1378" s="24" t="str">
        <f aca="false">Monthly!$A$47</f>
        <v>Accounting / HR / cap-table systems (QuickBooks or NetSuite, payroll, Carta)</v>
      </c>
      <c r="G1378" s="20" t="n">
        <f aca="false">Monthly!N$47</f>
        <v>1500</v>
      </c>
      <c r="H1378" s="24" t="str">
        <f aca="false">ScenarioName</f>
        <v>Base</v>
      </c>
    </row>
    <row r="1379" customFormat="false" ht="15" hidden="false" customHeight="false" outlineLevel="0" collapsed="false">
      <c r="A1379" s="8" t="n">
        <v>10</v>
      </c>
      <c r="B1379" s="39" t="n">
        <f aca="false">EDATE(StartDate,A1379-1)</f>
        <v>46661</v>
      </c>
      <c r="C1379" s="24" t="str">
        <f aca="false">Monthly!$B$47</f>
        <v>EnergyWave, Inc.</v>
      </c>
      <c r="D1379" s="24" t="str">
        <f aca="false">Monthly!$C$47</f>
        <v>Finance</v>
      </c>
      <c r="E1379" s="24" t="str">
        <f aca="false">Monthly!$D$47</f>
        <v>Systems</v>
      </c>
      <c r="F1379" s="24" t="str">
        <f aca="false">Monthly!$A$47</f>
        <v>Accounting / HR / cap-table systems (QuickBooks or NetSuite, payroll, Carta)</v>
      </c>
      <c r="G1379" s="20" t="n">
        <f aca="false">Monthly!O$47</f>
        <v>1500</v>
      </c>
      <c r="H1379" s="24" t="str">
        <f aca="false">ScenarioName</f>
        <v>Base</v>
      </c>
    </row>
    <row r="1380" customFormat="false" ht="15" hidden="false" customHeight="false" outlineLevel="0" collapsed="false">
      <c r="A1380" s="8" t="n">
        <v>11</v>
      </c>
      <c r="B1380" s="39" t="n">
        <f aca="false">EDATE(StartDate,A1380-1)</f>
        <v>46692</v>
      </c>
      <c r="C1380" s="24" t="str">
        <f aca="false">Monthly!$B$47</f>
        <v>EnergyWave, Inc.</v>
      </c>
      <c r="D1380" s="24" t="str">
        <f aca="false">Monthly!$C$47</f>
        <v>Finance</v>
      </c>
      <c r="E1380" s="24" t="str">
        <f aca="false">Monthly!$D$47</f>
        <v>Systems</v>
      </c>
      <c r="F1380" s="24" t="str">
        <f aca="false">Monthly!$A$47</f>
        <v>Accounting / HR / cap-table systems (QuickBooks or NetSuite, payroll, Carta)</v>
      </c>
      <c r="G1380" s="20" t="n">
        <f aca="false">Monthly!P$47</f>
        <v>1500</v>
      </c>
      <c r="H1380" s="24" t="str">
        <f aca="false">ScenarioName</f>
        <v>Base</v>
      </c>
    </row>
    <row r="1381" customFormat="false" ht="15" hidden="false" customHeight="false" outlineLevel="0" collapsed="false">
      <c r="A1381" s="8" t="n">
        <v>12</v>
      </c>
      <c r="B1381" s="39" t="n">
        <f aca="false">EDATE(StartDate,A1381-1)</f>
        <v>46722</v>
      </c>
      <c r="C1381" s="24" t="str">
        <f aca="false">Monthly!$B$47</f>
        <v>EnergyWave, Inc.</v>
      </c>
      <c r="D1381" s="24" t="str">
        <f aca="false">Monthly!$C$47</f>
        <v>Finance</v>
      </c>
      <c r="E1381" s="24" t="str">
        <f aca="false">Monthly!$D$47</f>
        <v>Systems</v>
      </c>
      <c r="F1381" s="24" t="str">
        <f aca="false">Monthly!$A$47</f>
        <v>Accounting / HR / cap-table systems (QuickBooks or NetSuite, payroll, Carta)</v>
      </c>
      <c r="G1381" s="20" t="n">
        <f aca="false">Monthly!Q$47</f>
        <v>1500</v>
      </c>
      <c r="H1381" s="24" t="str">
        <f aca="false">ScenarioName</f>
        <v>Base</v>
      </c>
    </row>
    <row r="1382" customFormat="false" ht="15" hidden="false" customHeight="false" outlineLevel="0" collapsed="false">
      <c r="A1382" s="8" t="n">
        <v>13</v>
      </c>
      <c r="B1382" s="39" t="n">
        <f aca="false">EDATE(StartDate,A1382-1)</f>
        <v>46753</v>
      </c>
      <c r="C1382" s="24" t="str">
        <f aca="false">Monthly!$B$47</f>
        <v>EnergyWave, Inc.</v>
      </c>
      <c r="D1382" s="24" t="str">
        <f aca="false">Monthly!$C$47</f>
        <v>Finance</v>
      </c>
      <c r="E1382" s="24" t="str">
        <f aca="false">Monthly!$D$47</f>
        <v>Systems</v>
      </c>
      <c r="F1382" s="24" t="str">
        <f aca="false">Monthly!$A$47</f>
        <v>Accounting / HR / cap-table systems (QuickBooks or NetSuite, payroll, Carta)</v>
      </c>
      <c r="G1382" s="20" t="n">
        <f aca="false">Monthly!R$47</f>
        <v>1500</v>
      </c>
      <c r="H1382" s="24" t="str">
        <f aca="false">ScenarioName</f>
        <v>Base</v>
      </c>
    </row>
    <row r="1383" customFormat="false" ht="15" hidden="false" customHeight="false" outlineLevel="0" collapsed="false">
      <c r="A1383" s="8" t="n">
        <v>14</v>
      </c>
      <c r="B1383" s="39" t="n">
        <f aca="false">EDATE(StartDate,A1383-1)</f>
        <v>46784</v>
      </c>
      <c r="C1383" s="24" t="str">
        <f aca="false">Monthly!$B$47</f>
        <v>EnergyWave, Inc.</v>
      </c>
      <c r="D1383" s="24" t="str">
        <f aca="false">Monthly!$C$47</f>
        <v>Finance</v>
      </c>
      <c r="E1383" s="24" t="str">
        <f aca="false">Monthly!$D$47</f>
        <v>Systems</v>
      </c>
      <c r="F1383" s="24" t="str">
        <f aca="false">Monthly!$A$47</f>
        <v>Accounting / HR / cap-table systems (QuickBooks or NetSuite, payroll, Carta)</v>
      </c>
      <c r="G1383" s="20" t="n">
        <f aca="false">Monthly!S$47</f>
        <v>1500</v>
      </c>
      <c r="H1383" s="24" t="str">
        <f aca="false">ScenarioName</f>
        <v>Base</v>
      </c>
    </row>
    <row r="1384" customFormat="false" ht="15" hidden="false" customHeight="false" outlineLevel="0" collapsed="false">
      <c r="A1384" s="8" t="n">
        <v>15</v>
      </c>
      <c r="B1384" s="39" t="n">
        <f aca="false">EDATE(StartDate,A1384-1)</f>
        <v>46813</v>
      </c>
      <c r="C1384" s="24" t="str">
        <f aca="false">Monthly!$B$47</f>
        <v>EnergyWave, Inc.</v>
      </c>
      <c r="D1384" s="24" t="str">
        <f aca="false">Monthly!$C$47</f>
        <v>Finance</v>
      </c>
      <c r="E1384" s="24" t="str">
        <f aca="false">Monthly!$D$47</f>
        <v>Systems</v>
      </c>
      <c r="F1384" s="24" t="str">
        <f aca="false">Monthly!$A$47</f>
        <v>Accounting / HR / cap-table systems (QuickBooks or NetSuite, payroll, Carta)</v>
      </c>
      <c r="G1384" s="20" t="n">
        <f aca="false">Monthly!T$47</f>
        <v>1500</v>
      </c>
      <c r="H1384" s="24" t="str">
        <f aca="false">ScenarioName</f>
        <v>Base</v>
      </c>
    </row>
    <row r="1385" customFormat="false" ht="15" hidden="false" customHeight="false" outlineLevel="0" collapsed="false">
      <c r="A1385" s="8" t="n">
        <v>16</v>
      </c>
      <c r="B1385" s="39" t="n">
        <f aca="false">EDATE(StartDate,A1385-1)</f>
        <v>46844</v>
      </c>
      <c r="C1385" s="24" t="str">
        <f aca="false">Monthly!$B$47</f>
        <v>EnergyWave, Inc.</v>
      </c>
      <c r="D1385" s="24" t="str">
        <f aca="false">Monthly!$C$47</f>
        <v>Finance</v>
      </c>
      <c r="E1385" s="24" t="str">
        <f aca="false">Monthly!$D$47</f>
        <v>Systems</v>
      </c>
      <c r="F1385" s="24" t="str">
        <f aca="false">Monthly!$A$47</f>
        <v>Accounting / HR / cap-table systems (QuickBooks or NetSuite, payroll, Carta)</v>
      </c>
      <c r="G1385" s="20" t="n">
        <f aca="false">Monthly!U$47</f>
        <v>1500</v>
      </c>
      <c r="H1385" s="24" t="str">
        <f aca="false">ScenarioName</f>
        <v>Base</v>
      </c>
    </row>
    <row r="1386" customFormat="false" ht="15" hidden="false" customHeight="false" outlineLevel="0" collapsed="false">
      <c r="A1386" s="8" t="n">
        <v>17</v>
      </c>
      <c r="B1386" s="39" t="n">
        <f aca="false">EDATE(StartDate,A1386-1)</f>
        <v>46874</v>
      </c>
      <c r="C1386" s="24" t="str">
        <f aca="false">Monthly!$B$47</f>
        <v>EnergyWave, Inc.</v>
      </c>
      <c r="D1386" s="24" t="str">
        <f aca="false">Monthly!$C$47</f>
        <v>Finance</v>
      </c>
      <c r="E1386" s="24" t="str">
        <f aca="false">Monthly!$D$47</f>
        <v>Systems</v>
      </c>
      <c r="F1386" s="24" t="str">
        <f aca="false">Monthly!$A$47</f>
        <v>Accounting / HR / cap-table systems (QuickBooks or NetSuite, payroll, Carta)</v>
      </c>
      <c r="G1386" s="20" t="n">
        <f aca="false">Monthly!V$47</f>
        <v>1500</v>
      </c>
      <c r="H1386" s="24" t="str">
        <f aca="false">ScenarioName</f>
        <v>Base</v>
      </c>
    </row>
    <row r="1387" customFormat="false" ht="15" hidden="false" customHeight="false" outlineLevel="0" collapsed="false">
      <c r="A1387" s="8" t="n">
        <v>18</v>
      </c>
      <c r="B1387" s="39" t="n">
        <f aca="false">EDATE(StartDate,A1387-1)</f>
        <v>46905</v>
      </c>
      <c r="C1387" s="24" t="str">
        <f aca="false">Monthly!$B$47</f>
        <v>EnergyWave, Inc.</v>
      </c>
      <c r="D1387" s="24" t="str">
        <f aca="false">Monthly!$C$47</f>
        <v>Finance</v>
      </c>
      <c r="E1387" s="24" t="str">
        <f aca="false">Monthly!$D$47</f>
        <v>Systems</v>
      </c>
      <c r="F1387" s="24" t="str">
        <f aca="false">Monthly!$A$47</f>
        <v>Accounting / HR / cap-table systems (QuickBooks or NetSuite, payroll, Carta)</v>
      </c>
      <c r="G1387" s="20" t="n">
        <f aca="false">Monthly!W$47</f>
        <v>1500</v>
      </c>
      <c r="H1387" s="24" t="str">
        <f aca="false">ScenarioName</f>
        <v>Base</v>
      </c>
    </row>
    <row r="1388" customFormat="false" ht="15" hidden="false" customHeight="false" outlineLevel="0" collapsed="false">
      <c r="A1388" s="8" t="n">
        <v>19</v>
      </c>
      <c r="B1388" s="39" t="n">
        <f aca="false">EDATE(StartDate,A1388-1)</f>
        <v>46935</v>
      </c>
      <c r="C1388" s="24" t="str">
        <f aca="false">Monthly!$B$47</f>
        <v>EnergyWave, Inc.</v>
      </c>
      <c r="D1388" s="24" t="str">
        <f aca="false">Monthly!$C$47</f>
        <v>Finance</v>
      </c>
      <c r="E1388" s="24" t="str">
        <f aca="false">Monthly!$D$47</f>
        <v>Systems</v>
      </c>
      <c r="F1388" s="24" t="str">
        <f aca="false">Monthly!$A$47</f>
        <v>Accounting / HR / cap-table systems (QuickBooks or NetSuite, payroll, Carta)</v>
      </c>
      <c r="G1388" s="20" t="n">
        <f aca="false">Monthly!X$47</f>
        <v>1500</v>
      </c>
      <c r="H1388" s="24" t="str">
        <f aca="false">ScenarioName</f>
        <v>Base</v>
      </c>
    </row>
    <row r="1389" customFormat="false" ht="15" hidden="false" customHeight="false" outlineLevel="0" collapsed="false">
      <c r="A1389" s="8" t="n">
        <v>20</v>
      </c>
      <c r="B1389" s="39" t="n">
        <f aca="false">EDATE(StartDate,A1389-1)</f>
        <v>46966</v>
      </c>
      <c r="C1389" s="24" t="str">
        <f aca="false">Monthly!$B$47</f>
        <v>EnergyWave, Inc.</v>
      </c>
      <c r="D1389" s="24" t="str">
        <f aca="false">Monthly!$C$47</f>
        <v>Finance</v>
      </c>
      <c r="E1389" s="24" t="str">
        <f aca="false">Monthly!$D$47</f>
        <v>Systems</v>
      </c>
      <c r="F1389" s="24" t="str">
        <f aca="false">Monthly!$A$47</f>
        <v>Accounting / HR / cap-table systems (QuickBooks or NetSuite, payroll, Carta)</v>
      </c>
      <c r="G1389" s="20" t="n">
        <f aca="false">Monthly!Y$47</f>
        <v>1500</v>
      </c>
      <c r="H1389" s="24" t="str">
        <f aca="false">ScenarioName</f>
        <v>Base</v>
      </c>
    </row>
    <row r="1390" customFormat="false" ht="15" hidden="false" customHeight="false" outlineLevel="0" collapsed="false">
      <c r="A1390" s="8" t="n">
        <v>21</v>
      </c>
      <c r="B1390" s="39" t="n">
        <f aca="false">EDATE(StartDate,A1390-1)</f>
        <v>46997</v>
      </c>
      <c r="C1390" s="24" t="str">
        <f aca="false">Monthly!$B$47</f>
        <v>EnergyWave, Inc.</v>
      </c>
      <c r="D1390" s="24" t="str">
        <f aca="false">Monthly!$C$47</f>
        <v>Finance</v>
      </c>
      <c r="E1390" s="24" t="str">
        <f aca="false">Monthly!$D$47</f>
        <v>Systems</v>
      </c>
      <c r="F1390" s="24" t="str">
        <f aca="false">Monthly!$A$47</f>
        <v>Accounting / HR / cap-table systems (QuickBooks or NetSuite, payroll, Carta)</v>
      </c>
      <c r="G1390" s="20" t="n">
        <f aca="false">Monthly!Z$47</f>
        <v>1500</v>
      </c>
      <c r="H1390" s="24" t="str">
        <f aca="false">ScenarioName</f>
        <v>Base</v>
      </c>
    </row>
    <row r="1391" customFormat="false" ht="15" hidden="false" customHeight="false" outlineLevel="0" collapsed="false">
      <c r="A1391" s="8" t="n">
        <v>22</v>
      </c>
      <c r="B1391" s="39" t="n">
        <f aca="false">EDATE(StartDate,A1391-1)</f>
        <v>47027</v>
      </c>
      <c r="C1391" s="24" t="str">
        <f aca="false">Monthly!$B$47</f>
        <v>EnergyWave, Inc.</v>
      </c>
      <c r="D1391" s="24" t="str">
        <f aca="false">Monthly!$C$47</f>
        <v>Finance</v>
      </c>
      <c r="E1391" s="24" t="str">
        <f aca="false">Monthly!$D$47</f>
        <v>Systems</v>
      </c>
      <c r="F1391" s="24" t="str">
        <f aca="false">Monthly!$A$47</f>
        <v>Accounting / HR / cap-table systems (QuickBooks or NetSuite, payroll, Carta)</v>
      </c>
      <c r="G1391" s="20" t="n">
        <f aca="false">Monthly!AA$47</f>
        <v>1500</v>
      </c>
      <c r="H1391" s="24" t="str">
        <f aca="false">ScenarioName</f>
        <v>Base</v>
      </c>
    </row>
    <row r="1392" customFormat="false" ht="15" hidden="false" customHeight="false" outlineLevel="0" collapsed="false">
      <c r="A1392" s="8" t="n">
        <v>23</v>
      </c>
      <c r="B1392" s="39" t="n">
        <f aca="false">EDATE(StartDate,A1392-1)</f>
        <v>47058</v>
      </c>
      <c r="C1392" s="24" t="str">
        <f aca="false">Monthly!$B$47</f>
        <v>EnergyWave, Inc.</v>
      </c>
      <c r="D1392" s="24" t="str">
        <f aca="false">Monthly!$C$47</f>
        <v>Finance</v>
      </c>
      <c r="E1392" s="24" t="str">
        <f aca="false">Monthly!$D$47</f>
        <v>Systems</v>
      </c>
      <c r="F1392" s="24" t="str">
        <f aca="false">Monthly!$A$47</f>
        <v>Accounting / HR / cap-table systems (QuickBooks or NetSuite, payroll, Carta)</v>
      </c>
      <c r="G1392" s="20" t="n">
        <f aca="false">Monthly!AB$47</f>
        <v>1500</v>
      </c>
      <c r="H1392" s="24" t="str">
        <f aca="false">ScenarioName</f>
        <v>Base</v>
      </c>
    </row>
    <row r="1393" customFormat="false" ht="15" hidden="false" customHeight="false" outlineLevel="0" collapsed="false">
      <c r="A1393" s="8" t="n">
        <v>24</v>
      </c>
      <c r="B1393" s="39" t="n">
        <f aca="false">EDATE(StartDate,A1393-1)</f>
        <v>47088</v>
      </c>
      <c r="C1393" s="24" t="str">
        <f aca="false">Monthly!$B$47</f>
        <v>EnergyWave, Inc.</v>
      </c>
      <c r="D1393" s="24" t="str">
        <f aca="false">Monthly!$C$47</f>
        <v>Finance</v>
      </c>
      <c r="E1393" s="24" t="str">
        <f aca="false">Monthly!$D$47</f>
        <v>Systems</v>
      </c>
      <c r="F1393" s="24" t="str">
        <f aca="false">Monthly!$A$47</f>
        <v>Accounting / HR / cap-table systems (QuickBooks or NetSuite, payroll, Carta)</v>
      </c>
      <c r="G1393" s="20" t="n">
        <f aca="false">Monthly!AC$47</f>
        <v>1500</v>
      </c>
      <c r="H1393" s="24" t="str">
        <f aca="false">ScenarioName</f>
        <v>Base</v>
      </c>
    </row>
    <row r="1394" customFormat="false" ht="15" hidden="false" customHeight="false" outlineLevel="0" collapsed="false">
      <c r="A1394" s="8" t="n">
        <v>25</v>
      </c>
      <c r="B1394" s="39" t="n">
        <f aca="false">EDATE(StartDate,A1394-1)</f>
        <v>47119</v>
      </c>
      <c r="C1394" s="24" t="str">
        <f aca="false">Monthly!$B$47</f>
        <v>EnergyWave, Inc.</v>
      </c>
      <c r="D1394" s="24" t="str">
        <f aca="false">Monthly!$C$47</f>
        <v>Finance</v>
      </c>
      <c r="E1394" s="24" t="str">
        <f aca="false">Monthly!$D$47</f>
        <v>Systems</v>
      </c>
      <c r="F1394" s="24" t="str">
        <f aca="false">Monthly!$A$47</f>
        <v>Accounting / HR / cap-table systems (QuickBooks or NetSuite, payroll, Carta)</v>
      </c>
      <c r="G1394" s="20" t="n">
        <f aca="false">Monthly!AD$47</f>
        <v>1500</v>
      </c>
      <c r="H1394" s="24" t="str">
        <f aca="false">ScenarioName</f>
        <v>Base</v>
      </c>
    </row>
    <row r="1395" customFormat="false" ht="15" hidden="false" customHeight="false" outlineLevel="0" collapsed="false">
      <c r="A1395" s="8" t="n">
        <v>26</v>
      </c>
      <c r="B1395" s="39" t="n">
        <f aca="false">EDATE(StartDate,A1395-1)</f>
        <v>47150</v>
      </c>
      <c r="C1395" s="24" t="str">
        <f aca="false">Monthly!$B$47</f>
        <v>EnergyWave, Inc.</v>
      </c>
      <c r="D1395" s="24" t="str">
        <f aca="false">Monthly!$C$47</f>
        <v>Finance</v>
      </c>
      <c r="E1395" s="24" t="str">
        <f aca="false">Monthly!$D$47</f>
        <v>Systems</v>
      </c>
      <c r="F1395" s="24" t="str">
        <f aca="false">Monthly!$A$47</f>
        <v>Accounting / HR / cap-table systems (QuickBooks or NetSuite, payroll, Carta)</v>
      </c>
      <c r="G1395" s="20" t="n">
        <f aca="false">Monthly!AE$47</f>
        <v>1500</v>
      </c>
      <c r="H1395" s="24" t="str">
        <f aca="false">ScenarioName</f>
        <v>Base</v>
      </c>
    </row>
    <row r="1396" customFormat="false" ht="15" hidden="false" customHeight="false" outlineLevel="0" collapsed="false">
      <c r="A1396" s="8" t="n">
        <v>27</v>
      </c>
      <c r="B1396" s="39" t="n">
        <f aca="false">EDATE(StartDate,A1396-1)</f>
        <v>47178</v>
      </c>
      <c r="C1396" s="24" t="str">
        <f aca="false">Monthly!$B$47</f>
        <v>EnergyWave, Inc.</v>
      </c>
      <c r="D1396" s="24" t="str">
        <f aca="false">Monthly!$C$47</f>
        <v>Finance</v>
      </c>
      <c r="E1396" s="24" t="str">
        <f aca="false">Monthly!$D$47</f>
        <v>Systems</v>
      </c>
      <c r="F1396" s="24" t="str">
        <f aca="false">Monthly!$A$47</f>
        <v>Accounting / HR / cap-table systems (QuickBooks or NetSuite, payroll, Carta)</v>
      </c>
      <c r="G1396" s="20" t="n">
        <f aca="false">Monthly!AF$47</f>
        <v>1500</v>
      </c>
      <c r="H1396" s="24" t="str">
        <f aca="false">ScenarioName</f>
        <v>Base</v>
      </c>
    </row>
    <row r="1397" customFormat="false" ht="15" hidden="false" customHeight="false" outlineLevel="0" collapsed="false">
      <c r="A1397" s="8" t="n">
        <v>28</v>
      </c>
      <c r="B1397" s="39" t="n">
        <f aca="false">EDATE(StartDate,A1397-1)</f>
        <v>47209</v>
      </c>
      <c r="C1397" s="24" t="str">
        <f aca="false">Monthly!$B$47</f>
        <v>EnergyWave, Inc.</v>
      </c>
      <c r="D1397" s="24" t="str">
        <f aca="false">Monthly!$C$47</f>
        <v>Finance</v>
      </c>
      <c r="E1397" s="24" t="str">
        <f aca="false">Monthly!$D$47</f>
        <v>Systems</v>
      </c>
      <c r="F1397" s="24" t="str">
        <f aca="false">Monthly!$A$47</f>
        <v>Accounting / HR / cap-table systems (QuickBooks or NetSuite, payroll, Carta)</v>
      </c>
      <c r="G1397" s="20" t="n">
        <f aca="false">Monthly!AG$47</f>
        <v>1500</v>
      </c>
      <c r="H1397" s="24" t="str">
        <f aca="false">ScenarioName</f>
        <v>Base</v>
      </c>
    </row>
    <row r="1398" customFormat="false" ht="15" hidden="false" customHeight="false" outlineLevel="0" collapsed="false">
      <c r="A1398" s="8" t="n">
        <v>29</v>
      </c>
      <c r="B1398" s="39" t="n">
        <f aca="false">EDATE(StartDate,A1398-1)</f>
        <v>47239</v>
      </c>
      <c r="C1398" s="24" t="str">
        <f aca="false">Monthly!$B$47</f>
        <v>EnergyWave, Inc.</v>
      </c>
      <c r="D1398" s="24" t="str">
        <f aca="false">Monthly!$C$47</f>
        <v>Finance</v>
      </c>
      <c r="E1398" s="24" t="str">
        <f aca="false">Monthly!$D$47</f>
        <v>Systems</v>
      </c>
      <c r="F1398" s="24" t="str">
        <f aca="false">Monthly!$A$47</f>
        <v>Accounting / HR / cap-table systems (QuickBooks or NetSuite, payroll, Carta)</v>
      </c>
      <c r="G1398" s="20" t="n">
        <f aca="false">Monthly!AH$47</f>
        <v>1500</v>
      </c>
      <c r="H1398" s="24" t="str">
        <f aca="false">ScenarioName</f>
        <v>Base</v>
      </c>
    </row>
    <row r="1399" customFormat="false" ht="15" hidden="false" customHeight="false" outlineLevel="0" collapsed="false">
      <c r="A1399" s="8" t="n">
        <v>30</v>
      </c>
      <c r="B1399" s="39" t="n">
        <f aca="false">EDATE(StartDate,A1399-1)</f>
        <v>47270</v>
      </c>
      <c r="C1399" s="24" t="str">
        <f aca="false">Monthly!$B$47</f>
        <v>EnergyWave, Inc.</v>
      </c>
      <c r="D1399" s="24" t="str">
        <f aca="false">Monthly!$C$47</f>
        <v>Finance</v>
      </c>
      <c r="E1399" s="24" t="str">
        <f aca="false">Monthly!$D$47</f>
        <v>Systems</v>
      </c>
      <c r="F1399" s="24" t="str">
        <f aca="false">Monthly!$A$47</f>
        <v>Accounting / HR / cap-table systems (QuickBooks or NetSuite, payroll, Carta)</v>
      </c>
      <c r="G1399" s="20" t="n">
        <f aca="false">Monthly!AI$47</f>
        <v>1500</v>
      </c>
      <c r="H1399" s="24" t="str">
        <f aca="false">ScenarioName</f>
        <v>Base</v>
      </c>
    </row>
    <row r="1400" customFormat="false" ht="15" hidden="false" customHeight="false" outlineLevel="0" collapsed="false">
      <c r="A1400" s="8" t="n">
        <v>31</v>
      </c>
      <c r="B1400" s="39" t="n">
        <f aca="false">EDATE(StartDate,A1400-1)</f>
        <v>47300</v>
      </c>
      <c r="C1400" s="24" t="str">
        <f aca="false">Monthly!$B$47</f>
        <v>EnergyWave, Inc.</v>
      </c>
      <c r="D1400" s="24" t="str">
        <f aca="false">Monthly!$C$47</f>
        <v>Finance</v>
      </c>
      <c r="E1400" s="24" t="str">
        <f aca="false">Monthly!$D$47</f>
        <v>Systems</v>
      </c>
      <c r="F1400" s="24" t="str">
        <f aca="false">Monthly!$A$47</f>
        <v>Accounting / HR / cap-table systems (QuickBooks or NetSuite, payroll, Carta)</v>
      </c>
      <c r="G1400" s="20" t="n">
        <f aca="false">Monthly!AJ$47</f>
        <v>1500</v>
      </c>
      <c r="H1400" s="24" t="str">
        <f aca="false">ScenarioName</f>
        <v>Base</v>
      </c>
    </row>
    <row r="1401" customFormat="false" ht="15" hidden="false" customHeight="false" outlineLevel="0" collapsed="false">
      <c r="A1401" s="8" t="n">
        <v>32</v>
      </c>
      <c r="B1401" s="39" t="n">
        <f aca="false">EDATE(StartDate,A1401-1)</f>
        <v>47331</v>
      </c>
      <c r="C1401" s="24" t="str">
        <f aca="false">Monthly!$B$47</f>
        <v>EnergyWave, Inc.</v>
      </c>
      <c r="D1401" s="24" t="str">
        <f aca="false">Monthly!$C$47</f>
        <v>Finance</v>
      </c>
      <c r="E1401" s="24" t="str">
        <f aca="false">Monthly!$D$47</f>
        <v>Systems</v>
      </c>
      <c r="F1401" s="24" t="str">
        <f aca="false">Monthly!$A$47</f>
        <v>Accounting / HR / cap-table systems (QuickBooks or NetSuite, payroll, Carta)</v>
      </c>
      <c r="G1401" s="20" t="n">
        <f aca="false">Monthly!AK$47</f>
        <v>1500</v>
      </c>
      <c r="H1401" s="24" t="str">
        <f aca="false">ScenarioName</f>
        <v>Base</v>
      </c>
    </row>
    <row r="1402" customFormat="false" ht="15" hidden="false" customHeight="false" outlineLevel="0" collapsed="false">
      <c r="A1402" s="8" t="n">
        <v>33</v>
      </c>
      <c r="B1402" s="39" t="n">
        <f aca="false">EDATE(StartDate,A1402-1)</f>
        <v>47362</v>
      </c>
      <c r="C1402" s="24" t="str">
        <f aca="false">Monthly!$B$47</f>
        <v>EnergyWave, Inc.</v>
      </c>
      <c r="D1402" s="24" t="str">
        <f aca="false">Monthly!$C$47</f>
        <v>Finance</v>
      </c>
      <c r="E1402" s="24" t="str">
        <f aca="false">Monthly!$D$47</f>
        <v>Systems</v>
      </c>
      <c r="F1402" s="24" t="str">
        <f aca="false">Monthly!$A$47</f>
        <v>Accounting / HR / cap-table systems (QuickBooks or NetSuite, payroll, Carta)</v>
      </c>
      <c r="G1402" s="20" t="n">
        <f aca="false">Monthly!AL$47</f>
        <v>1500</v>
      </c>
      <c r="H1402" s="24" t="str">
        <f aca="false">ScenarioName</f>
        <v>Base</v>
      </c>
    </row>
    <row r="1403" customFormat="false" ht="15" hidden="false" customHeight="false" outlineLevel="0" collapsed="false">
      <c r="A1403" s="8" t="n">
        <v>34</v>
      </c>
      <c r="B1403" s="39" t="n">
        <f aca="false">EDATE(StartDate,A1403-1)</f>
        <v>47392</v>
      </c>
      <c r="C1403" s="24" t="str">
        <f aca="false">Monthly!$B$47</f>
        <v>EnergyWave, Inc.</v>
      </c>
      <c r="D1403" s="24" t="str">
        <f aca="false">Monthly!$C$47</f>
        <v>Finance</v>
      </c>
      <c r="E1403" s="24" t="str">
        <f aca="false">Monthly!$D$47</f>
        <v>Systems</v>
      </c>
      <c r="F1403" s="24" t="str">
        <f aca="false">Monthly!$A$47</f>
        <v>Accounting / HR / cap-table systems (QuickBooks or NetSuite, payroll, Carta)</v>
      </c>
      <c r="G1403" s="20" t="n">
        <f aca="false">Monthly!AM$47</f>
        <v>1500</v>
      </c>
      <c r="H1403" s="24" t="str">
        <f aca="false">ScenarioName</f>
        <v>Base</v>
      </c>
    </row>
    <row r="1404" customFormat="false" ht="15" hidden="false" customHeight="false" outlineLevel="0" collapsed="false">
      <c r="A1404" s="8" t="n">
        <v>35</v>
      </c>
      <c r="B1404" s="39" t="n">
        <f aca="false">EDATE(StartDate,A1404-1)</f>
        <v>47423</v>
      </c>
      <c r="C1404" s="24" t="str">
        <f aca="false">Monthly!$B$47</f>
        <v>EnergyWave, Inc.</v>
      </c>
      <c r="D1404" s="24" t="str">
        <f aca="false">Monthly!$C$47</f>
        <v>Finance</v>
      </c>
      <c r="E1404" s="24" t="str">
        <f aca="false">Monthly!$D$47</f>
        <v>Systems</v>
      </c>
      <c r="F1404" s="24" t="str">
        <f aca="false">Monthly!$A$47</f>
        <v>Accounting / HR / cap-table systems (QuickBooks or NetSuite, payroll, Carta)</v>
      </c>
      <c r="G1404" s="20" t="n">
        <f aca="false">Monthly!AN$47</f>
        <v>1500</v>
      </c>
      <c r="H1404" s="24" t="str">
        <f aca="false">ScenarioName</f>
        <v>Base</v>
      </c>
    </row>
    <row r="1405" customFormat="false" ht="15" hidden="false" customHeight="false" outlineLevel="0" collapsed="false">
      <c r="A1405" s="8" t="n">
        <v>36</v>
      </c>
      <c r="B1405" s="39" t="n">
        <f aca="false">EDATE(StartDate,A1405-1)</f>
        <v>47453</v>
      </c>
      <c r="C1405" s="24" t="str">
        <f aca="false">Monthly!$B$47</f>
        <v>EnergyWave, Inc.</v>
      </c>
      <c r="D1405" s="24" t="str">
        <f aca="false">Monthly!$C$47</f>
        <v>Finance</v>
      </c>
      <c r="E1405" s="24" t="str">
        <f aca="false">Monthly!$D$47</f>
        <v>Systems</v>
      </c>
      <c r="F1405" s="24" t="str">
        <f aca="false">Monthly!$A$47</f>
        <v>Accounting / HR / cap-table systems (QuickBooks or NetSuite, payroll, Carta)</v>
      </c>
      <c r="G1405" s="20" t="n">
        <f aca="false">Monthly!AO$47</f>
        <v>1500</v>
      </c>
      <c r="H1405" s="24" t="str">
        <f aca="false">ScenarioName</f>
        <v>Base</v>
      </c>
    </row>
    <row r="1406" customFormat="false" ht="15" hidden="false" customHeight="false" outlineLevel="0" collapsed="false">
      <c r="A1406" s="8" t="n">
        <v>1</v>
      </c>
      <c r="B1406" s="39" t="n">
        <f aca="false">EDATE(StartDate,A1406-1)</f>
        <v>46388</v>
      </c>
      <c r="C1406" s="24" t="str">
        <f aca="false">Monthly!$B$48</f>
        <v>EnergyWave, Inc.</v>
      </c>
      <c r="D1406" s="24" t="str">
        <f aca="false">Monthly!$C$48</f>
        <v>G&amp;A</v>
      </c>
      <c r="E1406" s="24" t="str">
        <f aca="false">Monthly!$D$48</f>
        <v>Insurance</v>
      </c>
      <c r="F1406" s="24" t="str">
        <f aca="false">Monthly!$A$48</f>
        <v>Insurance (D&amp;O, GL, property, testing liability, workers' comp)</v>
      </c>
      <c r="G1406" s="20" t="n">
        <f aca="false">Monthly!F$48</f>
        <v>7500</v>
      </c>
      <c r="H1406" s="24" t="str">
        <f aca="false">ScenarioName</f>
        <v>Base</v>
      </c>
    </row>
    <row r="1407" customFormat="false" ht="15" hidden="false" customHeight="false" outlineLevel="0" collapsed="false">
      <c r="A1407" s="8" t="n">
        <v>2</v>
      </c>
      <c r="B1407" s="39" t="n">
        <f aca="false">EDATE(StartDate,A1407-1)</f>
        <v>46419</v>
      </c>
      <c r="C1407" s="24" t="str">
        <f aca="false">Monthly!$B$48</f>
        <v>EnergyWave, Inc.</v>
      </c>
      <c r="D1407" s="24" t="str">
        <f aca="false">Monthly!$C$48</f>
        <v>G&amp;A</v>
      </c>
      <c r="E1407" s="24" t="str">
        <f aca="false">Monthly!$D$48</f>
        <v>Insurance</v>
      </c>
      <c r="F1407" s="24" t="str">
        <f aca="false">Monthly!$A$48</f>
        <v>Insurance (D&amp;O, GL, property, testing liability, workers' comp)</v>
      </c>
      <c r="G1407" s="20" t="n">
        <f aca="false">Monthly!G$48</f>
        <v>7500</v>
      </c>
      <c r="H1407" s="24" t="str">
        <f aca="false">ScenarioName</f>
        <v>Base</v>
      </c>
    </row>
    <row r="1408" customFormat="false" ht="15" hidden="false" customHeight="false" outlineLevel="0" collapsed="false">
      <c r="A1408" s="8" t="n">
        <v>3</v>
      </c>
      <c r="B1408" s="39" t="n">
        <f aca="false">EDATE(StartDate,A1408-1)</f>
        <v>46447</v>
      </c>
      <c r="C1408" s="24" t="str">
        <f aca="false">Monthly!$B$48</f>
        <v>EnergyWave, Inc.</v>
      </c>
      <c r="D1408" s="24" t="str">
        <f aca="false">Monthly!$C$48</f>
        <v>G&amp;A</v>
      </c>
      <c r="E1408" s="24" t="str">
        <f aca="false">Monthly!$D$48</f>
        <v>Insurance</v>
      </c>
      <c r="F1408" s="24" t="str">
        <f aca="false">Monthly!$A$48</f>
        <v>Insurance (D&amp;O, GL, property, testing liability, workers' comp)</v>
      </c>
      <c r="G1408" s="20" t="n">
        <f aca="false">Monthly!H$48</f>
        <v>7500</v>
      </c>
      <c r="H1408" s="24" t="str">
        <f aca="false">ScenarioName</f>
        <v>Base</v>
      </c>
    </row>
    <row r="1409" customFormat="false" ht="15" hidden="false" customHeight="false" outlineLevel="0" collapsed="false">
      <c r="A1409" s="8" t="n">
        <v>4</v>
      </c>
      <c r="B1409" s="39" t="n">
        <f aca="false">EDATE(StartDate,A1409-1)</f>
        <v>46478</v>
      </c>
      <c r="C1409" s="24" t="str">
        <f aca="false">Monthly!$B$48</f>
        <v>EnergyWave, Inc.</v>
      </c>
      <c r="D1409" s="24" t="str">
        <f aca="false">Monthly!$C$48</f>
        <v>G&amp;A</v>
      </c>
      <c r="E1409" s="24" t="str">
        <f aca="false">Monthly!$D$48</f>
        <v>Insurance</v>
      </c>
      <c r="F1409" s="24" t="str">
        <f aca="false">Monthly!$A$48</f>
        <v>Insurance (D&amp;O, GL, property, testing liability, workers' comp)</v>
      </c>
      <c r="G1409" s="20" t="n">
        <f aca="false">Monthly!I$48</f>
        <v>7500</v>
      </c>
      <c r="H1409" s="24" t="str">
        <f aca="false">ScenarioName</f>
        <v>Base</v>
      </c>
    </row>
    <row r="1410" customFormat="false" ht="15" hidden="false" customHeight="false" outlineLevel="0" collapsed="false">
      <c r="A1410" s="8" t="n">
        <v>5</v>
      </c>
      <c r="B1410" s="39" t="n">
        <f aca="false">EDATE(StartDate,A1410-1)</f>
        <v>46508</v>
      </c>
      <c r="C1410" s="24" t="str">
        <f aca="false">Monthly!$B$48</f>
        <v>EnergyWave, Inc.</v>
      </c>
      <c r="D1410" s="24" t="str">
        <f aca="false">Monthly!$C$48</f>
        <v>G&amp;A</v>
      </c>
      <c r="E1410" s="24" t="str">
        <f aca="false">Monthly!$D$48</f>
        <v>Insurance</v>
      </c>
      <c r="F1410" s="24" t="str">
        <f aca="false">Monthly!$A$48</f>
        <v>Insurance (D&amp;O, GL, property, testing liability, workers' comp)</v>
      </c>
      <c r="G1410" s="20" t="n">
        <f aca="false">Monthly!J$48</f>
        <v>7500</v>
      </c>
      <c r="H1410" s="24" t="str">
        <f aca="false">ScenarioName</f>
        <v>Base</v>
      </c>
    </row>
    <row r="1411" customFormat="false" ht="15" hidden="false" customHeight="false" outlineLevel="0" collapsed="false">
      <c r="A1411" s="8" t="n">
        <v>6</v>
      </c>
      <c r="B1411" s="39" t="n">
        <f aca="false">EDATE(StartDate,A1411-1)</f>
        <v>46539</v>
      </c>
      <c r="C1411" s="24" t="str">
        <f aca="false">Monthly!$B$48</f>
        <v>EnergyWave, Inc.</v>
      </c>
      <c r="D1411" s="24" t="str">
        <f aca="false">Monthly!$C$48</f>
        <v>G&amp;A</v>
      </c>
      <c r="E1411" s="24" t="str">
        <f aca="false">Monthly!$D$48</f>
        <v>Insurance</v>
      </c>
      <c r="F1411" s="24" t="str">
        <f aca="false">Monthly!$A$48</f>
        <v>Insurance (D&amp;O, GL, property, testing liability, workers' comp)</v>
      </c>
      <c r="G1411" s="20" t="n">
        <f aca="false">Monthly!K$48</f>
        <v>7500</v>
      </c>
      <c r="H1411" s="24" t="str">
        <f aca="false">ScenarioName</f>
        <v>Base</v>
      </c>
    </row>
    <row r="1412" customFormat="false" ht="15" hidden="false" customHeight="false" outlineLevel="0" collapsed="false">
      <c r="A1412" s="8" t="n">
        <v>7</v>
      </c>
      <c r="B1412" s="39" t="n">
        <f aca="false">EDATE(StartDate,A1412-1)</f>
        <v>46569</v>
      </c>
      <c r="C1412" s="24" t="str">
        <f aca="false">Monthly!$B$48</f>
        <v>EnergyWave, Inc.</v>
      </c>
      <c r="D1412" s="24" t="str">
        <f aca="false">Monthly!$C$48</f>
        <v>G&amp;A</v>
      </c>
      <c r="E1412" s="24" t="str">
        <f aca="false">Monthly!$D$48</f>
        <v>Insurance</v>
      </c>
      <c r="F1412" s="24" t="str">
        <f aca="false">Monthly!$A$48</f>
        <v>Insurance (D&amp;O, GL, property, testing liability, workers' comp)</v>
      </c>
      <c r="G1412" s="20" t="n">
        <f aca="false">Monthly!L$48</f>
        <v>7500</v>
      </c>
      <c r="H1412" s="24" t="str">
        <f aca="false">ScenarioName</f>
        <v>Base</v>
      </c>
    </row>
    <row r="1413" customFormat="false" ht="15" hidden="false" customHeight="false" outlineLevel="0" collapsed="false">
      <c r="A1413" s="8" t="n">
        <v>8</v>
      </c>
      <c r="B1413" s="39" t="n">
        <f aca="false">EDATE(StartDate,A1413-1)</f>
        <v>46600</v>
      </c>
      <c r="C1413" s="24" t="str">
        <f aca="false">Monthly!$B$48</f>
        <v>EnergyWave, Inc.</v>
      </c>
      <c r="D1413" s="24" t="str">
        <f aca="false">Monthly!$C$48</f>
        <v>G&amp;A</v>
      </c>
      <c r="E1413" s="24" t="str">
        <f aca="false">Monthly!$D$48</f>
        <v>Insurance</v>
      </c>
      <c r="F1413" s="24" t="str">
        <f aca="false">Monthly!$A$48</f>
        <v>Insurance (D&amp;O, GL, property, testing liability, workers' comp)</v>
      </c>
      <c r="G1413" s="20" t="n">
        <f aca="false">Monthly!M$48</f>
        <v>7500</v>
      </c>
      <c r="H1413" s="24" t="str">
        <f aca="false">ScenarioName</f>
        <v>Base</v>
      </c>
    </row>
    <row r="1414" customFormat="false" ht="15" hidden="false" customHeight="false" outlineLevel="0" collapsed="false">
      <c r="A1414" s="8" t="n">
        <v>9</v>
      </c>
      <c r="B1414" s="39" t="n">
        <f aca="false">EDATE(StartDate,A1414-1)</f>
        <v>46631</v>
      </c>
      <c r="C1414" s="24" t="str">
        <f aca="false">Monthly!$B$48</f>
        <v>EnergyWave, Inc.</v>
      </c>
      <c r="D1414" s="24" t="str">
        <f aca="false">Monthly!$C$48</f>
        <v>G&amp;A</v>
      </c>
      <c r="E1414" s="24" t="str">
        <f aca="false">Monthly!$D$48</f>
        <v>Insurance</v>
      </c>
      <c r="F1414" s="24" t="str">
        <f aca="false">Monthly!$A$48</f>
        <v>Insurance (D&amp;O, GL, property, testing liability, workers' comp)</v>
      </c>
      <c r="G1414" s="20" t="n">
        <f aca="false">Monthly!N$48</f>
        <v>7500</v>
      </c>
      <c r="H1414" s="24" t="str">
        <f aca="false">ScenarioName</f>
        <v>Base</v>
      </c>
    </row>
    <row r="1415" customFormat="false" ht="15" hidden="false" customHeight="false" outlineLevel="0" collapsed="false">
      <c r="A1415" s="8" t="n">
        <v>10</v>
      </c>
      <c r="B1415" s="39" t="n">
        <f aca="false">EDATE(StartDate,A1415-1)</f>
        <v>46661</v>
      </c>
      <c r="C1415" s="24" t="str">
        <f aca="false">Monthly!$B$48</f>
        <v>EnergyWave, Inc.</v>
      </c>
      <c r="D1415" s="24" t="str">
        <f aca="false">Monthly!$C$48</f>
        <v>G&amp;A</v>
      </c>
      <c r="E1415" s="24" t="str">
        <f aca="false">Monthly!$D$48</f>
        <v>Insurance</v>
      </c>
      <c r="F1415" s="24" t="str">
        <f aca="false">Monthly!$A$48</f>
        <v>Insurance (D&amp;O, GL, property, testing liability, workers' comp)</v>
      </c>
      <c r="G1415" s="20" t="n">
        <f aca="false">Monthly!O$48</f>
        <v>7500</v>
      </c>
      <c r="H1415" s="24" t="str">
        <f aca="false">ScenarioName</f>
        <v>Base</v>
      </c>
    </row>
    <row r="1416" customFormat="false" ht="15" hidden="false" customHeight="false" outlineLevel="0" collapsed="false">
      <c r="A1416" s="8" t="n">
        <v>11</v>
      </c>
      <c r="B1416" s="39" t="n">
        <f aca="false">EDATE(StartDate,A1416-1)</f>
        <v>46692</v>
      </c>
      <c r="C1416" s="24" t="str">
        <f aca="false">Monthly!$B$48</f>
        <v>EnergyWave, Inc.</v>
      </c>
      <c r="D1416" s="24" t="str">
        <f aca="false">Monthly!$C$48</f>
        <v>G&amp;A</v>
      </c>
      <c r="E1416" s="24" t="str">
        <f aca="false">Monthly!$D$48</f>
        <v>Insurance</v>
      </c>
      <c r="F1416" s="24" t="str">
        <f aca="false">Monthly!$A$48</f>
        <v>Insurance (D&amp;O, GL, property, testing liability, workers' comp)</v>
      </c>
      <c r="G1416" s="20" t="n">
        <f aca="false">Monthly!P$48</f>
        <v>7500</v>
      </c>
      <c r="H1416" s="24" t="str">
        <f aca="false">ScenarioName</f>
        <v>Base</v>
      </c>
    </row>
    <row r="1417" customFormat="false" ht="15" hidden="false" customHeight="false" outlineLevel="0" collapsed="false">
      <c r="A1417" s="8" t="n">
        <v>12</v>
      </c>
      <c r="B1417" s="39" t="n">
        <f aca="false">EDATE(StartDate,A1417-1)</f>
        <v>46722</v>
      </c>
      <c r="C1417" s="24" t="str">
        <f aca="false">Monthly!$B$48</f>
        <v>EnergyWave, Inc.</v>
      </c>
      <c r="D1417" s="24" t="str">
        <f aca="false">Monthly!$C$48</f>
        <v>G&amp;A</v>
      </c>
      <c r="E1417" s="24" t="str">
        <f aca="false">Monthly!$D$48</f>
        <v>Insurance</v>
      </c>
      <c r="F1417" s="24" t="str">
        <f aca="false">Monthly!$A$48</f>
        <v>Insurance (D&amp;O, GL, property, testing liability, workers' comp)</v>
      </c>
      <c r="G1417" s="20" t="n">
        <f aca="false">Monthly!Q$48</f>
        <v>7500</v>
      </c>
      <c r="H1417" s="24" t="str">
        <f aca="false">ScenarioName</f>
        <v>Base</v>
      </c>
    </row>
    <row r="1418" customFormat="false" ht="15" hidden="false" customHeight="false" outlineLevel="0" collapsed="false">
      <c r="A1418" s="8" t="n">
        <v>13</v>
      </c>
      <c r="B1418" s="39" t="n">
        <f aca="false">EDATE(StartDate,A1418-1)</f>
        <v>46753</v>
      </c>
      <c r="C1418" s="24" t="str">
        <f aca="false">Monthly!$B$48</f>
        <v>EnergyWave, Inc.</v>
      </c>
      <c r="D1418" s="24" t="str">
        <f aca="false">Monthly!$C$48</f>
        <v>G&amp;A</v>
      </c>
      <c r="E1418" s="24" t="str">
        <f aca="false">Monthly!$D$48</f>
        <v>Insurance</v>
      </c>
      <c r="F1418" s="24" t="str">
        <f aca="false">Monthly!$A$48</f>
        <v>Insurance (D&amp;O, GL, property, testing liability, workers' comp)</v>
      </c>
      <c r="G1418" s="20" t="n">
        <f aca="false">Monthly!R$48</f>
        <v>7500</v>
      </c>
      <c r="H1418" s="24" t="str">
        <f aca="false">ScenarioName</f>
        <v>Base</v>
      </c>
    </row>
    <row r="1419" customFormat="false" ht="15" hidden="false" customHeight="false" outlineLevel="0" collapsed="false">
      <c r="A1419" s="8" t="n">
        <v>14</v>
      </c>
      <c r="B1419" s="39" t="n">
        <f aca="false">EDATE(StartDate,A1419-1)</f>
        <v>46784</v>
      </c>
      <c r="C1419" s="24" t="str">
        <f aca="false">Monthly!$B$48</f>
        <v>EnergyWave, Inc.</v>
      </c>
      <c r="D1419" s="24" t="str">
        <f aca="false">Monthly!$C$48</f>
        <v>G&amp;A</v>
      </c>
      <c r="E1419" s="24" t="str">
        <f aca="false">Monthly!$D$48</f>
        <v>Insurance</v>
      </c>
      <c r="F1419" s="24" t="str">
        <f aca="false">Monthly!$A$48</f>
        <v>Insurance (D&amp;O, GL, property, testing liability, workers' comp)</v>
      </c>
      <c r="G1419" s="20" t="n">
        <f aca="false">Monthly!S$48</f>
        <v>7500</v>
      </c>
      <c r="H1419" s="24" t="str">
        <f aca="false">ScenarioName</f>
        <v>Base</v>
      </c>
    </row>
    <row r="1420" customFormat="false" ht="15" hidden="false" customHeight="false" outlineLevel="0" collapsed="false">
      <c r="A1420" s="8" t="n">
        <v>15</v>
      </c>
      <c r="B1420" s="39" t="n">
        <f aca="false">EDATE(StartDate,A1420-1)</f>
        <v>46813</v>
      </c>
      <c r="C1420" s="24" t="str">
        <f aca="false">Monthly!$B$48</f>
        <v>EnergyWave, Inc.</v>
      </c>
      <c r="D1420" s="24" t="str">
        <f aca="false">Monthly!$C$48</f>
        <v>G&amp;A</v>
      </c>
      <c r="E1420" s="24" t="str">
        <f aca="false">Monthly!$D$48</f>
        <v>Insurance</v>
      </c>
      <c r="F1420" s="24" t="str">
        <f aca="false">Monthly!$A$48</f>
        <v>Insurance (D&amp;O, GL, property, testing liability, workers' comp)</v>
      </c>
      <c r="G1420" s="20" t="n">
        <f aca="false">Monthly!T$48</f>
        <v>7500</v>
      </c>
      <c r="H1420" s="24" t="str">
        <f aca="false">ScenarioName</f>
        <v>Base</v>
      </c>
    </row>
    <row r="1421" customFormat="false" ht="15" hidden="false" customHeight="false" outlineLevel="0" collapsed="false">
      <c r="A1421" s="8" t="n">
        <v>16</v>
      </c>
      <c r="B1421" s="39" t="n">
        <f aca="false">EDATE(StartDate,A1421-1)</f>
        <v>46844</v>
      </c>
      <c r="C1421" s="24" t="str">
        <f aca="false">Monthly!$B$48</f>
        <v>EnergyWave, Inc.</v>
      </c>
      <c r="D1421" s="24" t="str">
        <f aca="false">Monthly!$C$48</f>
        <v>G&amp;A</v>
      </c>
      <c r="E1421" s="24" t="str">
        <f aca="false">Monthly!$D$48</f>
        <v>Insurance</v>
      </c>
      <c r="F1421" s="24" t="str">
        <f aca="false">Monthly!$A$48</f>
        <v>Insurance (D&amp;O, GL, property, testing liability, workers' comp)</v>
      </c>
      <c r="G1421" s="20" t="n">
        <f aca="false">Monthly!U$48</f>
        <v>7500</v>
      </c>
      <c r="H1421" s="24" t="str">
        <f aca="false">ScenarioName</f>
        <v>Base</v>
      </c>
    </row>
    <row r="1422" customFormat="false" ht="15" hidden="false" customHeight="false" outlineLevel="0" collapsed="false">
      <c r="A1422" s="8" t="n">
        <v>17</v>
      </c>
      <c r="B1422" s="39" t="n">
        <f aca="false">EDATE(StartDate,A1422-1)</f>
        <v>46874</v>
      </c>
      <c r="C1422" s="24" t="str">
        <f aca="false">Monthly!$B$48</f>
        <v>EnergyWave, Inc.</v>
      </c>
      <c r="D1422" s="24" t="str">
        <f aca="false">Monthly!$C$48</f>
        <v>G&amp;A</v>
      </c>
      <c r="E1422" s="24" t="str">
        <f aca="false">Monthly!$D$48</f>
        <v>Insurance</v>
      </c>
      <c r="F1422" s="24" t="str">
        <f aca="false">Monthly!$A$48</f>
        <v>Insurance (D&amp;O, GL, property, testing liability, workers' comp)</v>
      </c>
      <c r="G1422" s="20" t="n">
        <f aca="false">Monthly!V$48</f>
        <v>7500</v>
      </c>
      <c r="H1422" s="24" t="str">
        <f aca="false">ScenarioName</f>
        <v>Base</v>
      </c>
    </row>
    <row r="1423" customFormat="false" ht="15" hidden="false" customHeight="false" outlineLevel="0" collapsed="false">
      <c r="A1423" s="8" t="n">
        <v>18</v>
      </c>
      <c r="B1423" s="39" t="n">
        <f aca="false">EDATE(StartDate,A1423-1)</f>
        <v>46905</v>
      </c>
      <c r="C1423" s="24" t="str">
        <f aca="false">Monthly!$B$48</f>
        <v>EnergyWave, Inc.</v>
      </c>
      <c r="D1423" s="24" t="str">
        <f aca="false">Monthly!$C$48</f>
        <v>G&amp;A</v>
      </c>
      <c r="E1423" s="24" t="str">
        <f aca="false">Monthly!$D$48</f>
        <v>Insurance</v>
      </c>
      <c r="F1423" s="24" t="str">
        <f aca="false">Monthly!$A$48</f>
        <v>Insurance (D&amp;O, GL, property, testing liability, workers' comp)</v>
      </c>
      <c r="G1423" s="20" t="n">
        <f aca="false">Monthly!W$48</f>
        <v>7500</v>
      </c>
      <c r="H1423" s="24" t="str">
        <f aca="false">ScenarioName</f>
        <v>Base</v>
      </c>
    </row>
    <row r="1424" customFormat="false" ht="15" hidden="false" customHeight="false" outlineLevel="0" collapsed="false">
      <c r="A1424" s="8" t="n">
        <v>19</v>
      </c>
      <c r="B1424" s="39" t="n">
        <f aca="false">EDATE(StartDate,A1424-1)</f>
        <v>46935</v>
      </c>
      <c r="C1424" s="24" t="str">
        <f aca="false">Monthly!$B$48</f>
        <v>EnergyWave, Inc.</v>
      </c>
      <c r="D1424" s="24" t="str">
        <f aca="false">Monthly!$C$48</f>
        <v>G&amp;A</v>
      </c>
      <c r="E1424" s="24" t="str">
        <f aca="false">Monthly!$D$48</f>
        <v>Insurance</v>
      </c>
      <c r="F1424" s="24" t="str">
        <f aca="false">Monthly!$A$48</f>
        <v>Insurance (D&amp;O, GL, property, testing liability, workers' comp)</v>
      </c>
      <c r="G1424" s="20" t="n">
        <f aca="false">Monthly!X$48</f>
        <v>7500</v>
      </c>
      <c r="H1424" s="24" t="str">
        <f aca="false">ScenarioName</f>
        <v>Base</v>
      </c>
    </row>
    <row r="1425" customFormat="false" ht="15" hidden="false" customHeight="false" outlineLevel="0" collapsed="false">
      <c r="A1425" s="8" t="n">
        <v>20</v>
      </c>
      <c r="B1425" s="39" t="n">
        <f aca="false">EDATE(StartDate,A1425-1)</f>
        <v>46966</v>
      </c>
      <c r="C1425" s="24" t="str">
        <f aca="false">Monthly!$B$48</f>
        <v>EnergyWave, Inc.</v>
      </c>
      <c r="D1425" s="24" t="str">
        <f aca="false">Monthly!$C$48</f>
        <v>G&amp;A</v>
      </c>
      <c r="E1425" s="24" t="str">
        <f aca="false">Monthly!$D$48</f>
        <v>Insurance</v>
      </c>
      <c r="F1425" s="24" t="str">
        <f aca="false">Monthly!$A$48</f>
        <v>Insurance (D&amp;O, GL, property, testing liability, workers' comp)</v>
      </c>
      <c r="G1425" s="20" t="n">
        <f aca="false">Monthly!Y$48</f>
        <v>7500</v>
      </c>
      <c r="H1425" s="24" t="str">
        <f aca="false">ScenarioName</f>
        <v>Base</v>
      </c>
    </row>
    <row r="1426" customFormat="false" ht="15" hidden="false" customHeight="false" outlineLevel="0" collapsed="false">
      <c r="A1426" s="8" t="n">
        <v>21</v>
      </c>
      <c r="B1426" s="39" t="n">
        <f aca="false">EDATE(StartDate,A1426-1)</f>
        <v>46997</v>
      </c>
      <c r="C1426" s="24" t="str">
        <f aca="false">Monthly!$B$48</f>
        <v>EnergyWave, Inc.</v>
      </c>
      <c r="D1426" s="24" t="str">
        <f aca="false">Monthly!$C$48</f>
        <v>G&amp;A</v>
      </c>
      <c r="E1426" s="24" t="str">
        <f aca="false">Monthly!$D$48</f>
        <v>Insurance</v>
      </c>
      <c r="F1426" s="24" t="str">
        <f aca="false">Monthly!$A$48</f>
        <v>Insurance (D&amp;O, GL, property, testing liability, workers' comp)</v>
      </c>
      <c r="G1426" s="20" t="n">
        <f aca="false">Monthly!Z$48</f>
        <v>7500</v>
      </c>
      <c r="H1426" s="24" t="str">
        <f aca="false">ScenarioName</f>
        <v>Base</v>
      </c>
    </row>
    <row r="1427" customFormat="false" ht="15" hidden="false" customHeight="false" outlineLevel="0" collapsed="false">
      <c r="A1427" s="8" t="n">
        <v>22</v>
      </c>
      <c r="B1427" s="39" t="n">
        <f aca="false">EDATE(StartDate,A1427-1)</f>
        <v>47027</v>
      </c>
      <c r="C1427" s="24" t="str">
        <f aca="false">Monthly!$B$48</f>
        <v>EnergyWave, Inc.</v>
      </c>
      <c r="D1427" s="24" t="str">
        <f aca="false">Monthly!$C$48</f>
        <v>G&amp;A</v>
      </c>
      <c r="E1427" s="24" t="str">
        <f aca="false">Monthly!$D$48</f>
        <v>Insurance</v>
      </c>
      <c r="F1427" s="24" t="str">
        <f aca="false">Monthly!$A$48</f>
        <v>Insurance (D&amp;O, GL, property, testing liability, workers' comp)</v>
      </c>
      <c r="G1427" s="20" t="n">
        <f aca="false">Monthly!AA$48</f>
        <v>7500</v>
      </c>
      <c r="H1427" s="24" t="str">
        <f aca="false">ScenarioName</f>
        <v>Base</v>
      </c>
    </row>
    <row r="1428" customFormat="false" ht="15" hidden="false" customHeight="false" outlineLevel="0" collapsed="false">
      <c r="A1428" s="8" t="n">
        <v>23</v>
      </c>
      <c r="B1428" s="39" t="n">
        <f aca="false">EDATE(StartDate,A1428-1)</f>
        <v>47058</v>
      </c>
      <c r="C1428" s="24" t="str">
        <f aca="false">Monthly!$B$48</f>
        <v>EnergyWave, Inc.</v>
      </c>
      <c r="D1428" s="24" t="str">
        <f aca="false">Monthly!$C$48</f>
        <v>G&amp;A</v>
      </c>
      <c r="E1428" s="24" t="str">
        <f aca="false">Monthly!$D$48</f>
        <v>Insurance</v>
      </c>
      <c r="F1428" s="24" t="str">
        <f aca="false">Monthly!$A$48</f>
        <v>Insurance (D&amp;O, GL, property, testing liability, workers' comp)</v>
      </c>
      <c r="G1428" s="20" t="n">
        <f aca="false">Monthly!AB$48</f>
        <v>7500</v>
      </c>
      <c r="H1428" s="24" t="str">
        <f aca="false">ScenarioName</f>
        <v>Base</v>
      </c>
    </row>
    <row r="1429" customFormat="false" ht="15" hidden="false" customHeight="false" outlineLevel="0" collapsed="false">
      <c r="A1429" s="8" t="n">
        <v>24</v>
      </c>
      <c r="B1429" s="39" t="n">
        <f aca="false">EDATE(StartDate,A1429-1)</f>
        <v>47088</v>
      </c>
      <c r="C1429" s="24" t="str">
        <f aca="false">Monthly!$B$48</f>
        <v>EnergyWave, Inc.</v>
      </c>
      <c r="D1429" s="24" t="str">
        <f aca="false">Monthly!$C$48</f>
        <v>G&amp;A</v>
      </c>
      <c r="E1429" s="24" t="str">
        <f aca="false">Monthly!$D$48</f>
        <v>Insurance</v>
      </c>
      <c r="F1429" s="24" t="str">
        <f aca="false">Monthly!$A$48</f>
        <v>Insurance (D&amp;O, GL, property, testing liability, workers' comp)</v>
      </c>
      <c r="G1429" s="20" t="n">
        <f aca="false">Monthly!AC$48</f>
        <v>7500</v>
      </c>
      <c r="H1429" s="24" t="str">
        <f aca="false">ScenarioName</f>
        <v>Base</v>
      </c>
    </row>
    <row r="1430" customFormat="false" ht="15" hidden="false" customHeight="false" outlineLevel="0" collapsed="false">
      <c r="A1430" s="8" t="n">
        <v>25</v>
      </c>
      <c r="B1430" s="39" t="n">
        <f aca="false">EDATE(StartDate,A1430-1)</f>
        <v>47119</v>
      </c>
      <c r="C1430" s="24" t="str">
        <f aca="false">Monthly!$B$48</f>
        <v>EnergyWave, Inc.</v>
      </c>
      <c r="D1430" s="24" t="str">
        <f aca="false">Monthly!$C$48</f>
        <v>G&amp;A</v>
      </c>
      <c r="E1430" s="24" t="str">
        <f aca="false">Monthly!$D$48</f>
        <v>Insurance</v>
      </c>
      <c r="F1430" s="24" t="str">
        <f aca="false">Monthly!$A$48</f>
        <v>Insurance (D&amp;O, GL, property, testing liability, workers' comp)</v>
      </c>
      <c r="G1430" s="20" t="n">
        <f aca="false">Monthly!AD$48</f>
        <v>7500</v>
      </c>
      <c r="H1430" s="24" t="str">
        <f aca="false">ScenarioName</f>
        <v>Base</v>
      </c>
    </row>
    <row r="1431" customFormat="false" ht="15" hidden="false" customHeight="false" outlineLevel="0" collapsed="false">
      <c r="A1431" s="8" t="n">
        <v>26</v>
      </c>
      <c r="B1431" s="39" t="n">
        <f aca="false">EDATE(StartDate,A1431-1)</f>
        <v>47150</v>
      </c>
      <c r="C1431" s="24" t="str">
        <f aca="false">Monthly!$B$48</f>
        <v>EnergyWave, Inc.</v>
      </c>
      <c r="D1431" s="24" t="str">
        <f aca="false">Monthly!$C$48</f>
        <v>G&amp;A</v>
      </c>
      <c r="E1431" s="24" t="str">
        <f aca="false">Monthly!$D$48</f>
        <v>Insurance</v>
      </c>
      <c r="F1431" s="24" t="str">
        <f aca="false">Monthly!$A$48</f>
        <v>Insurance (D&amp;O, GL, property, testing liability, workers' comp)</v>
      </c>
      <c r="G1431" s="20" t="n">
        <f aca="false">Monthly!AE$48</f>
        <v>7500</v>
      </c>
      <c r="H1431" s="24" t="str">
        <f aca="false">ScenarioName</f>
        <v>Base</v>
      </c>
    </row>
    <row r="1432" customFormat="false" ht="15" hidden="false" customHeight="false" outlineLevel="0" collapsed="false">
      <c r="A1432" s="8" t="n">
        <v>27</v>
      </c>
      <c r="B1432" s="39" t="n">
        <f aca="false">EDATE(StartDate,A1432-1)</f>
        <v>47178</v>
      </c>
      <c r="C1432" s="24" t="str">
        <f aca="false">Monthly!$B$48</f>
        <v>EnergyWave, Inc.</v>
      </c>
      <c r="D1432" s="24" t="str">
        <f aca="false">Monthly!$C$48</f>
        <v>G&amp;A</v>
      </c>
      <c r="E1432" s="24" t="str">
        <f aca="false">Monthly!$D$48</f>
        <v>Insurance</v>
      </c>
      <c r="F1432" s="24" t="str">
        <f aca="false">Monthly!$A$48</f>
        <v>Insurance (D&amp;O, GL, property, testing liability, workers' comp)</v>
      </c>
      <c r="G1432" s="20" t="n">
        <f aca="false">Monthly!AF$48</f>
        <v>7500</v>
      </c>
      <c r="H1432" s="24" t="str">
        <f aca="false">ScenarioName</f>
        <v>Base</v>
      </c>
    </row>
    <row r="1433" customFormat="false" ht="15" hidden="false" customHeight="false" outlineLevel="0" collapsed="false">
      <c r="A1433" s="8" t="n">
        <v>28</v>
      </c>
      <c r="B1433" s="39" t="n">
        <f aca="false">EDATE(StartDate,A1433-1)</f>
        <v>47209</v>
      </c>
      <c r="C1433" s="24" t="str">
        <f aca="false">Monthly!$B$48</f>
        <v>EnergyWave, Inc.</v>
      </c>
      <c r="D1433" s="24" t="str">
        <f aca="false">Monthly!$C$48</f>
        <v>G&amp;A</v>
      </c>
      <c r="E1433" s="24" t="str">
        <f aca="false">Monthly!$D$48</f>
        <v>Insurance</v>
      </c>
      <c r="F1433" s="24" t="str">
        <f aca="false">Monthly!$A$48</f>
        <v>Insurance (D&amp;O, GL, property, testing liability, workers' comp)</v>
      </c>
      <c r="G1433" s="20" t="n">
        <f aca="false">Monthly!AG$48</f>
        <v>7500</v>
      </c>
      <c r="H1433" s="24" t="str">
        <f aca="false">ScenarioName</f>
        <v>Base</v>
      </c>
    </row>
    <row r="1434" customFormat="false" ht="15" hidden="false" customHeight="false" outlineLevel="0" collapsed="false">
      <c r="A1434" s="8" t="n">
        <v>29</v>
      </c>
      <c r="B1434" s="39" t="n">
        <f aca="false">EDATE(StartDate,A1434-1)</f>
        <v>47239</v>
      </c>
      <c r="C1434" s="24" t="str">
        <f aca="false">Monthly!$B$48</f>
        <v>EnergyWave, Inc.</v>
      </c>
      <c r="D1434" s="24" t="str">
        <f aca="false">Monthly!$C$48</f>
        <v>G&amp;A</v>
      </c>
      <c r="E1434" s="24" t="str">
        <f aca="false">Monthly!$D$48</f>
        <v>Insurance</v>
      </c>
      <c r="F1434" s="24" t="str">
        <f aca="false">Monthly!$A$48</f>
        <v>Insurance (D&amp;O, GL, property, testing liability, workers' comp)</v>
      </c>
      <c r="G1434" s="20" t="n">
        <f aca="false">Monthly!AH$48</f>
        <v>7500</v>
      </c>
      <c r="H1434" s="24" t="str">
        <f aca="false">ScenarioName</f>
        <v>Base</v>
      </c>
    </row>
    <row r="1435" customFormat="false" ht="15" hidden="false" customHeight="false" outlineLevel="0" collapsed="false">
      <c r="A1435" s="8" t="n">
        <v>30</v>
      </c>
      <c r="B1435" s="39" t="n">
        <f aca="false">EDATE(StartDate,A1435-1)</f>
        <v>47270</v>
      </c>
      <c r="C1435" s="24" t="str">
        <f aca="false">Monthly!$B$48</f>
        <v>EnergyWave, Inc.</v>
      </c>
      <c r="D1435" s="24" t="str">
        <f aca="false">Monthly!$C$48</f>
        <v>G&amp;A</v>
      </c>
      <c r="E1435" s="24" t="str">
        <f aca="false">Monthly!$D$48</f>
        <v>Insurance</v>
      </c>
      <c r="F1435" s="24" t="str">
        <f aca="false">Monthly!$A$48</f>
        <v>Insurance (D&amp;O, GL, property, testing liability, workers' comp)</v>
      </c>
      <c r="G1435" s="20" t="n">
        <f aca="false">Monthly!AI$48</f>
        <v>7500</v>
      </c>
      <c r="H1435" s="24" t="str">
        <f aca="false">ScenarioName</f>
        <v>Base</v>
      </c>
    </row>
    <row r="1436" customFormat="false" ht="15" hidden="false" customHeight="false" outlineLevel="0" collapsed="false">
      <c r="A1436" s="8" t="n">
        <v>31</v>
      </c>
      <c r="B1436" s="39" t="n">
        <f aca="false">EDATE(StartDate,A1436-1)</f>
        <v>47300</v>
      </c>
      <c r="C1436" s="24" t="str">
        <f aca="false">Monthly!$B$48</f>
        <v>EnergyWave, Inc.</v>
      </c>
      <c r="D1436" s="24" t="str">
        <f aca="false">Monthly!$C$48</f>
        <v>G&amp;A</v>
      </c>
      <c r="E1436" s="24" t="str">
        <f aca="false">Monthly!$D$48</f>
        <v>Insurance</v>
      </c>
      <c r="F1436" s="24" t="str">
        <f aca="false">Monthly!$A$48</f>
        <v>Insurance (D&amp;O, GL, property, testing liability, workers' comp)</v>
      </c>
      <c r="G1436" s="20" t="n">
        <f aca="false">Monthly!AJ$48</f>
        <v>7500</v>
      </c>
      <c r="H1436" s="24" t="str">
        <f aca="false">ScenarioName</f>
        <v>Base</v>
      </c>
    </row>
    <row r="1437" customFormat="false" ht="15" hidden="false" customHeight="false" outlineLevel="0" collapsed="false">
      <c r="A1437" s="8" t="n">
        <v>32</v>
      </c>
      <c r="B1437" s="39" t="n">
        <f aca="false">EDATE(StartDate,A1437-1)</f>
        <v>47331</v>
      </c>
      <c r="C1437" s="24" t="str">
        <f aca="false">Monthly!$B$48</f>
        <v>EnergyWave, Inc.</v>
      </c>
      <c r="D1437" s="24" t="str">
        <f aca="false">Monthly!$C$48</f>
        <v>G&amp;A</v>
      </c>
      <c r="E1437" s="24" t="str">
        <f aca="false">Monthly!$D$48</f>
        <v>Insurance</v>
      </c>
      <c r="F1437" s="24" t="str">
        <f aca="false">Monthly!$A$48</f>
        <v>Insurance (D&amp;O, GL, property, testing liability, workers' comp)</v>
      </c>
      <c r="G1437" s="20" t="n">
        <f aca="false">Monthly!AK$48</f>
        <v>7500</v>
      </c>
      <c r="H1437" s="24" t="str">
        <f aca="false">ScenarioName</f>
        <v>Base</v>
      </c>
    </row>
    <row r="1438" customFormat="false" ht="15" hidden="false" customHeight="false" outlineLevel="0" collapsed="false">
      <c r="A1438" s="8" t="n">
        <v>33</v>
      </c>
      <c r="B1438" s="39" t="n">
        <f aca="false">EDATE(StartDate,A1438-1)</f>
        <v>47362</v>
      </c>
      <c r="C1438" s="24" t="str">
        <f aca="false">Monthly!$B$48</f>
        <v>EnergyWave, Inc.</v>
      </c>
      <c r="D1438" s="24" t="str">
        <f aca="false">Monthly!$C$48</f>
        <v>G&amp;A</v>
      </c>
      <c r="E1438" s="24" t="str">
        <f aca="false">Monthly!$D$48</f>
        <v>Insurance</v>
      </c>
      <c r="F1438" s="24" t="str">
        <f aca="false">Monthly!$A$48</f>
        <v>Insurance (D&amp;O, GL, property, testing liability, workers' comp)</v>
      </c>
      <c r="G1438" s="20" t="n">
        <f aca="false">Monthly!AL$48</f>
        <v>7500</v>
      </c>
      <c r="H1438" s="24" t="str">
        <f aca="false">ScenarioName</f>
        <v>Base</v>
      </c>
    </row>
    <row r="1439" customFormat="false" ht="15" hidden="false" customHeight="false" outlineLevel="0" collapsed="false">
      <c r="A1439" s="8" t="n">
        <v>34</v>
      </c>
      <c r="B1439" s="39" t="n">
        <f aca="false">EDATE(StartDate,A1439-1)</f>
        <v>47392</v>
      </c>
      <c r="C1439" s="24" t="str">
        <f aca="false">Monthly!$B$48</f>
        <v>EnergyWave, Inc.</v>
      </c>
      <c r="D1439" s="24" t="str">
        <f aca="false">Monthly!$C$48</f>
        <v>G&amp;A</v>
      </c>
      <c r="E1439" s="24" t="str">
        <f aca="false">Monthly!$D$48</f>
        <v>Insurance</v>
      </c>
      <c r="F1439" s="24" t="str">
        <f aca="false">Monthly!$A$48</f>
        <v>Insurance (D&amp;O, GL, property, testing liability, workers' comp)</v>
      </c>
      <c r="G1439" s="20" t="n">
        <f aca="false">Monthly!AM$48</f>
        <v>7500</v>
      </c>
      <c r="H1439" s="24" t="str">
        <f aca="false">ScenarioName</f>
        <v>Base</v>
      </c>
    </row>
    <row r="1440" customFormat="false" ht="15" hidden="false" customHeight="false" outlineLevel="0" collapsed="false">
      <c r="A1440" s="8" t="n">
        <v>35</v>
      </c>
      <c r="B1440" s="39" t="n">
        <f aca="false">EDATE(StartDate,A1440-1)</f>
        <v>47423</v>
      </c>
      <c r="C1440" s="24" t="str">
        <f aca="false">Monthly!$B$48</f>
        <v>EnergyWave, Inc.</v>
      </c>
      <c r="D1440" s="24" t="str">
        <f aca="false">Monthly!$C$48</f>
        <v>G&amp;A</v>
      </c>
      <c r="E1440" s="24" t="str">
        <f aca="false">Monthly!$D$48</f>
        <v>Insurance</v>
      </c>
      <c r="F1440" s="24" t="str">
        <f aca="false">Monthly!$A$48</f>
        <v>Insurance (D&amp;O, GL, property, testing liability, workers' comp)</v>
      </c>
      <c r="G1440" s="20" t="n">
        <f aca="false">Monthly!AN$48</f>
        <v>7500</v>
      </c>
      <c r="H1440" s="24" t="str">
        <f aca="false">ScenarioName</f>
        <v>Base</v>
      </c>
    </row>
    <row r="1441" customFormat="false" ht="15" hidden="false" customHeight="false" outlineLevel="0" collapsed="false">
      <c r="A1441" s="8" t="n">
        <v>36</v>
      </c>
      <c r="B1441" s="39" t="n">
        <f aca="false">EDATE(StartDate,A1441-1)</f>
        <v>47453</v>
      </c>
      <c r="C1441" s="24" t="str">
        <f aca="false">Monthly!$B$48</f>
        <v>EnergyWave, Inc.</v>
      </c>
      <c r="D1441" s="24" t="str">
        <f aca="false">Monthly!$C$48</f>
        <v>G&amp;A</v>
      </c>
      <c r="E1441" s="24" t="str">
        <f aca="false">Monthly!$D$48</f>
        <v>Insurance</v>
      </c>
      <c r="F1441" s="24" t="str">
        <f aca="false">Monthly!$A$48</f>
        <v>Insurance (D&amp;O, GL, property, testing liability, workers' comp)</v>
      </c>
      <c r="G1441" s="20" t="n">
        <f aca="false">Monthly!AO$48</f>
        <v>7500</v>
      </c>
      <c r="H1441" s="24" t="str">
        <f aca="false">ScenarioName</f>
        <v>Base</v>
      </c>
    </row>
    <row r="1442" customFormat="false" ht="15" hidden="false" customHeight="false" outlineLevel="0" collapsed="false">
      <c r="A1442" s="8" t="n">
        <v>1</v>
      </c>
      <c r="B1442" s="39" t="n">
        <f aca="false">EDATE(StartDate,A1442-1)</f>
        <v>46388</v>
      </c>
      <c r="C1442" s="24" t="str">
        <f aca="false">Monthly!$B$49</f>
        <v>EnergyWave, Inc.</v>
      </c>
      <c r="D1442" s="24" t="str">
        <f aca="false">Monthly!$C$49</f>
        <v>G&amp;A</v>
      </c>
      <c r="E1442" s="24" t="str">
        <f aca="false">Monthly!$D$49</f>
        <v>Recruiting</v>
      </c>
      <c r="F1442" s="24" t="str">
        <f aca="false">Monthly!$A$49</f>
        <v>Recruiting — search fees, five applied physicists</v>
      </c>
      <c r="G1442" s="20" t="n">
        <f aca="false">Monthly!F$49</f>
        <v>150000</v>
      </c>
      <c r="H1442" s="24" t="str">
        <f aca="false">ScenarioName</f>
        <v>Base</v>
      </c>
    </row>
    <row r="1443" customFormat="false" ht="15" hidden="false" customHeight="false" outlineLevel="0" collapsed="false">
      <c r="A1443" s="8" t="n">
        <v>2</v>
      </c>
      <c r="B1443" s="39" t="n">
        <f aca="false">EDATE(StartDate,A1443-1)</f>
        <v>46419</v>
      </c>
      <c r="C1443" s="24" t="str">
        <f aca="false">Monthly!$B$49</f>
        <v>EnergyWave, Inc.</v>
      </c>
      <c r="D1443" s="24" t="str">
        <f aca="false">Monthly!$C$49</f>
        <v>G&amp;A</v>
      </c>
      <c r="E1443" s="24" t="str">
        <f aca="false">Monthly!$D$49</f>
        <v>Recruiting</v>
      </c>
      <c r="F1443" s="24" t="str">
        <f aca="false">Monthly!$A$49</f>
        <v>Recruiting — search fees, five applied physicists</v>
      </c>
      <c r="G1443" s="20" t="n">
        <f aca="false">Monthly!G$49</f>
        <v>0</v>
      </c>
      <c r="H1443" s="24" t="str">
        <f aca="false">ScenarioName</f>
        <v>Base</v>
      </c>
    </row>
    <row r="1444" customFormat="false" ht="15" hidden="false" customHeight="false" outlineLevel="0" collapsed="false">
      <c r="A1444" s="8" t="n">
        <v>3</v>
      </c>
      <c r="B1444" s="39" t="n">
        <f aca="false">EDATE(StartDate,A1444-1)</f>
        <v>46447</v>
      </c>
      <c r="C1444" s="24" t="str">
        <f aca="false">Monthly!$B$49</f>
        <v>EnergyWave, Inc.</v>
      </c>
      <c r="D1444" s="24" t="str">
        <f aca="false">Monthly!$C$49</f>
        <v>G&amp;A</v>
      </c>
      <c r="E1444" s="24" t="str">
        <f aca="false">Monthly!$D$49</f>
        <v>Recruiting</v>
      </c>
      <c r="F1444" s="24" t="str">
        <f aca="false">Monthly!$A$49</f>
        <v>Recruiting — search fees, five applied physicists</v>
      </c>
      <c r="G1444" s="20" t="n">
        <f aca="false">Monthly!H$49</f>
        <v>0</v>
      </c>
      <c r="H1444" s="24" t="str">
        <f aca="false">ScenarioName</f>
        <v>Base</v>
      </c>
    </row>
    <row r="1445" customFormat="false" ht="15" hidden="false" customHeight="false" outlineLevel="0" collapsed="false">
      <c r="A1445" s="8" t="n">
        <v>4</v>
      </c>
      <c r="B1445" s="39" t="n">
        <f aca="false">EDATE(StartDate,A1445-1)</f>
        <v>46478</v>
      </c>
      <c r="C1445" s="24" t="str">
        <f aca="false">Monthly!$B$49</f>
        <v>EnergyWave, Inc.</v>
      </c>
      <c r="D1445" s="24" t="str">
        <f aca="false">Monthly!$C$49</f>
        <v>G&amp;A</v>
      </c>
      <c r="E1445" s="24" t="str">
        <f aca="false">Monthly!$D$49</f>
        <v>Recruiting</v>
      </c>
      <c r="F1445" s="24" t="str">
        <f aca="false">Monthly!$A$49</f>
        <v>Recruiting — search fees, five applied physicists</v>
      </c>
      <c r="G1445" s="20" t="n">
        <f aca="false">Monthly!I$49</f>
        <v>0</v>
      </c>
      <c r="H1445" s="24" t="str">
        <f aca="false">ScenarioName</f>
        <v>Base</v>
      </c>
    </row>
    <row r="1446" customFormat="false" ht="15" hidden="false" customHeight="false" outlineLevel="0" collapsed="false">
      <c r="A1446" s="8" t="n">
        <v>5</v>
      </c>
      <c r="B1446" s="39" t="n">
        <f aca="false">EDATE(StartDate,A1446-1)</f>
        <v>46508</v>
      </c>
      <c r="C1446" s="24" t="str">
        <f aca="false">Monthly!$B$49</f>
        <v>EnergyWave, Inc.</v>
      </c>
      <c r="D1446" s="24" t="str">
        <f aca="false">Monthly!$C$49</f>
        <v>G&amp;A</v>
      </c>
      <c r="E1446" s="24" t="str">
        <f aca="false">Monthly!$D$49</f>
        <v>Recruiting</v>
      </c>
      <c r="F1446" s="24" t="str">
        <f aca="false">Monthly!$A$49</f>
        <v>Recruiting — search fees, five applied physicists</v>
      </c>
      <c r="G1446" s="20" t="n">
        <f aca="false">Monthly!J$49</f>
        <v>0</v>
      </c>
      <c r="H1446" s="24" t="str">
        <f aca="false">ScenarioName</f>
        <v>Base</v>
      </c>
    </row>
    <row r="1447" customFormat="false" ht="15" hidden="false" customHeight="false" outlineLevel="0" collapsed="false">
      <c r="A1447" s="8" t="n">
        <v>6</v>
      </c>
      <c r="B1447" s="39" t="n">
        <f aca="false">EDATE(StartDate,A1447-1)</f>
        <v>46539</v>
      </c>
      <c r="C1447" s="24" t="str">
        <f aca="false">Monthly!$B$49</f>
        <v>EnergyWave, Inc.</v>
      </c>
      <c r="D1447" s="24" t="str">
        <f aca="false">Monthly!$C$49</f>
        <v>G&amp;A</v>
      </c>
      <c r="E1447" s="24" t="str">
        <f aca="false">Monthly!$D$49</f>
        <v>Recruiting</v>
      </c>
      <c r="F1447" s="24" t="str">
        <f aca="false">Monthly!$A$49</f>
        <v>Recruiting — search fees, five applied physicists</v>
      </c>
      <c r="G1447" s="20" t="n">
        <f aca="false">Monthly!K$49</f>
        <v>0</v>
      </c>
      <c r="H1447" s="24" t="str">
        <f aca="false">ScenarioName</f>
        <v>Base</v>
      </c>
    </row>
    <row r="1448" customFormat="false" ht="15" hidden="false" customHeight="false" outlineLevel="0" collapsed="false">
      <c r="A1448" s="8" t="n">
        <v>7</v>
      </c>
      <c r="B1448" s="39" t="n">
        <f aca="false">EDATE(StartDate,A1448-1)</f>
        <v>46569</v>
      </c>
      <c r="C1448" s="24" t="str">
        <f aca="false">Monthly!$B$49</f>
        <v>EnergyWave, Inc.</v>
      </c>
      <c r="D1448" s="24" t="str">
        <f aca="false">Monthly!$C$49</f>
        <v>G&amp;A</v>
      </c>
      <c r="E1448" s="24" t="str">
        <f aca="false">Monthly!$D$49</f>
        <v>Recruiting</v>
      </c>
      <c r="F1448" s="24" t="str">
        <f aca="false">Monthly!$A$49</f>
        <v>Recruiting — search fees, five applied physicists</v>
      </c>
      <c r="G1448" s="20" t="n">
        <f aca="false">Monthly!L$49</f>
        <v>0</v>
      </c>
      <c r="H1448" s="24" t="str">
        <f aca="false">ScenarioName</f>
        <v>Base</v>
      </c>
    </row>
    <row r="1449" customFormat="false" ht="15" hidden="false" customHeight="false" outlineLevel="0" collapsed="false">
      <c r="A1449" s="8" t="n">
        <v>8</v>
      </c>
      <c r="B1449" s="39" t="n">
        <f aca="false">EDATE(StartDate,A1449-1)</f>
        <v>46600</v>
      </c>
      <c r="C1449" s="24" t="str">
        <f aca="false">Monthly!$B$49</f>
        <v>EnergyWave, Inc.</v>
      </c>
      <c r="D1449" s="24" t="str">
        <f aca="false">Monthly!$C$49</f>
        <v>G&amp;A</v>
      </c>
      <c r="E1449" s="24" t="str">
        <f aca="false">Monthly!$D$49</f>
        <v>Recruiting</v>
      </c>
      <c r="F1449" s="24" t="str">
        <f aca="false">Monthly!$A$49</f>
        <v>Recruiting — search fees, five applied physicists</v>
      </c>
      <c r="G1449" s="20" t="n">
        <f aca="false">Monthly!M$49</f>
        <v>0</v>
      </c>
      <c r="H1449" s="24" t="str">
        <f aca="false">ScenarioName</f>
        <v>Base</v>
      </c>
    </row>
    <row r="1450" customFormat="false" ht="15" hidden="false" customHeight="false" outlineLevel="0" collapsed="false">
      <c r="A1450" s="8" t="n">
        <v>9</v>
      </c>
      <c r="B1450" s="39" t="n">
        <f aca="false">EDATE(StartDate,A1450-1)</f>
        <v>46631</v>
      </c>
      <c r="C1450" s="24" t="str">
        <f aca="false">Monthly!$B$49</f>
        <v>EnergyWave, Inc.</v>
      </c>
      <c r="D1450" s="24" t="str">
        <f aca="false">Monthly!$C$49</f>
        <v>G&amp;A</v>
      </c>
      <c r="E1450" s="24" t="str">
        <f aca="false">Monthly!$D$49</f>
        <v>Recruiting</v>
      </c>
      <c r="F1450" s="24" t="str">
        <f aca="false">Monthly!$A$49</f>
        <v>Recruiting — search fees, five applied physicists</v>
      </c>
      <c r="G1450" s="20" t="n">
        <f aca="false">Monthly!N$49</f>
        <v>0</v>
      </c>
      <c r="H1450" s="24" t="str">
        <f aca="false">ScenarioName</f>
        <v>Base</v>
      </c>
    </row>
    <row r="1451" customFormat="false" ht="15" hidden="false" customHeight="false" outlineLevel="0" collapsed="false">
      <c r="A1451" s="8" t="n">
        <v>10</v>
      </c>
      <c r="B1451" s="39" t="n">
        <f aca="false">EDATE(StartDate,A1451-1)</f>
        <v>46661</v>
      </c>
      <c r="C1451" s="24" t="str">
        <f aca="false">Monthly!$B$49</f>
        <v>EnergyWave, Inc.</v>
      </c>
      <c r="D1451" s="24" t="str">
        <f aca="false">Monthly!$C$49</f>
        <v>G&amp;A</v>
      </c>
      <c r="E1451" s="24" t="str">
        <f aca="false">Monthly!$D$49</f>
        <v>Recruiting</v>
      </c>
      <c r="F1451" s="24" t="str">
        <f aca="false">Monthly!$A$49</f>
        <v>Recruiting — search fees, five applied physicists</v>
      </c>
      <c r="G1451" s="20" t="n">
        <f aca="false">Monthly!O$49</f>
        <v>0</v>
      </c>
      <c r="H1451" s="24" t="str">
        <f aca="false">ScenarioName</f>
        <v>Base</v>
      </c>
    </row>
    <row r="1452" customFormat="false" ht="15" hidden="false" customHeight="false" outlineLevel="0" collapsed="false">
      <c r="A1452" s="8" t="n">
        <v>11</v>
      </c>
      <c r="B1452" s="39" t="n">
        <f aca="false">EDATE(StartDate,A1452-1)</f>
        <v>46692</v>
      </c>
      <c r="C1452" s="24" t="str">
        <f aca="false">Monthly!$B$49</f>
        <v>EnergyWave, Inc.</v>
      </c>
      <c r="D1452" s="24" t="str">
        <f aca="false">Monthly!$C$49</f>
        <v>G&amp;A</v>
      </c>
      <c r="E1452" s="24" t="str">
        <f aca="false">Monthly!$D$49</f>
        <v>Recruiting</v>
      </c>
      <c r="F1452" s="24" t="str">
        <f aca="false">Monthly!$A$49</f>
        <v>Recruiting — search fees, five applied physicists</v>
      </c>
      <c r="G1452" s="20" t="n">
        <f aca="false">Monthly!P$49</f>
        <v>0</v>
      </c>
      <c r="H1452" s="24" t="str">
        <f aca="false">ScenarioName</f>
        <v>Base</v>
      </c>
    </row>
    <row r="1453" customFormat="false" ht="15" hidden="false" customHeight="false" outlineLevel="0" collapsed="false">
      <c r="A1453" s="8" t="n">
        <v>12</v>
      </c>
      <c r="B1453" s="39" t="n">
        <f aca="false">EDATE(StartDate,A1453-1)</f>
        <v>46722</v>
      </c>
      <c r="C1453" s="24" t="str">
        <f aca="false">Monthly!$B$49</f>
        <v>EnergyWave, Inc.</v>
      </c>
      <c r="D1453" s="24" t="str">
        <f aca="false">Monthly!$C$49</f>
        <v>G&amp;A</v>
      </c>
      <c r="E1453" s="24" t="str">
        <f aca="false">Monthly!$D$49</f>
        <v>Recruiting</v>
      </c>
      <c r="F1453" s="24" t="str">
        <f aca="false">Monthly!$A$49</f>
        <v>Recruiting — search fees, five applied physicists</v>
      </c>
      <c r="G1453" s="20" t="n">
        <f aca="false">Monthly!Q$49</f>
        <v>0</v>
      </c>
      <c r="H1453" s="24" t="str">
        <f aca="false">ScenarioName</f>
        <v>Base</v>
      </c>
    </row>
    <row r="1454" customFormat="false" ht="15" hidden="false" customHeight="false" outlineLevel="0" collapsed="false">
      <c r="A1454" s="8" t="n">
        <v>13</v>
      </c>
      <c r="B1454" s="39" t="n">
        <f aca="false">EDATE(StartDate,A1454-1)</f>
        <v>46753</v>
      </c>
      <c r="C1454" s="24" t="str">
        <f aca="false">Monthly!$B$49</f>
        <v>EnergyWave, Inc.</v>
      </c>
      <c r="D1454" s="24" t="str">
        <f aca="false">Monthly!$C$49</f>
        <v>G&amp;A</v>
      </c>
      <c r="E1454" s="24" t="str">
        <f aca="false">Monthly!$D$49</f>
        <v>Recruiting</v>
      </c>
      <c r="F1454" s="24" t="str">
        <f aca="false">Monthly!$A$49</f>
        <v>Recruiting — search fees, five applied physicists</v>
      </c>
      <c r="G1454" s="20" t="n">
        <f aca="false">Monthly!R$49</f>
        <v>0</v>
      </c>
      <c r="H1454" s="24" t="str">
        <f aca="false">ScenarioName</f>
        <v>Base</v>
      </c>
    </row>
    <row r="1455" customFormat="false" ht="15" hidden="false" customHeight="false" outlineLevel="0" collapsed="false">
      <c r="A1455" s="8" t="n">
        <v>14</v>
      </c>
      <c r="B1455" s="39" t="n">
        <f aca="false">EDATE(StartDate,A1455-1)</f>
        <v>46784</v>
      </c>
      <c r="C1455" s="24" t="str">
        <f aca="false">Monthly!$B$49</f>
        <v>EnergyWave, Inc.</v>
      </c>
      <c r="D1455" s="24" t="str">
        <f aca="false">Monthly!$C$49</f>
        <v>G&amp;A</v>
      </c>
      <c r="E1455" s="24" t="str">
        <f aca="false">Monthly!$D$49</f>
        <v>Recruiting</v>
      </c>
      <c r="F1455" s="24" t="str">
        <f aca="false">Monthly!$A$49</f>
        <v>Recruiting — search fees, five applied physicists</v>
      </c>
      <c r="G1455" s="20" t="n">
        <f aca="false">Monthly!S$49</f>
        <v>0</v>
      </c>
      <c r="H1455" s="24" t="str">
        <f aca="false">ScenarioName</f>
        <v>Base</v>
      </c>
    </row>
    <row r="1456" customFormat="false" ht="15" hidden="false" customHeight="false" outlineLevel="0" collapsed="false">
      <c r="A1456" s="8" t="n">
        <v>15</v>
      </c>
      <c r="B1456" s="39" t="n">
        <f aca="false">EDATE(StartDate,A1456-1)</f>
        <v>46813</v>
      </c>
      <c r="C1456" s="24" t="str">
        <f aca="false">Monthly!$B$49</f>
        <v>EnergyWave, Inc.</v>
      </c>
      <c r="D1456" s="24" t="str">
        <f aca="false">Monthly!$C$49</f>
        <v>G&amp;A</v>
      </c>
      <c r="E1456" s="24" t="str">
        <f aca="false">Monthly!$D$49</f>
        <v>Recruiting</v>
      </c>
      <c r="F1456" s="24" t="str">
        <f aca="false">Monthly!$A$49</f>
        <v>Recruiting — search fees, five applied physicists</v>
      </c>
      <c r="G1456" s="20" t="n">
        <f aca="false">Monthly!T$49</f>
        <v>0</v>
      </c>
      <c r="H1456" s="24" t="str">
        <f aca="false">ScenarioName</f>
        <v>Base</v>
      </c>
    </row>
    <row r="1457" customFormat="false" ht="15" hidden="false" customHeight="false" outlineLevel="0" collapsed="false">
      <c r="A1457" s="8" t="n">
        <v>16</v>
      </c>
      <c r="B1457" s="39" t="n">
        <f aca="false">EDATE(StartDate,A1457-1)</f>
        <v>46844</v>
      </c>
      <c r="C1457" s="24" t="str">
        <f aca="false">Monthly!$B$49</f>
        <v>EnergyWave, Inc.</v>
      </c>
      <c r="D1457" s="24" t="str">
        <f aca="false">Monthly!$C$49</f>
        <v>G&amp;A</v>
      </c>
      <c r="E1457" s="24" t="str">
        <f aca="false">Monthly!$D$49</f>
        <v>Recruiting</v>
      </c>
      <c r="F1457" s="24" t="str">
        <f aca="false">Monthly!$A$49</f>
        <v>Recruiting — search fees, five applied physicists</v>
      </c>
      <c r="G1457" s="20" t="n">
        <f aca="false">Monthly!U$49</f>
        <v>0</v>
      </c>
      <c r="H1457" s="24" t="str">
        <f aca="false">ScenarioName</f>
        <v>Base</v>
      </c>
    </row>
    <row r="1458" customFormat="false" ht="15" hidden="false" customHeight="false" outlineLevel="0" collapsed="false">
      <c r="A1458" s="8" t="n">
        <v>17</v>
      </c>
      <c r="B1458" s="39" t="n">
        <f aca="false">EDATE(StartDate,A1458-1)</f>
        <v>46874</v>
      </c>
      <c r="C1458" s="24" t="str">
        <f aca="false">Monthly!$B$49</f>
        <v>EnergyWave, Inc.</v>
      </c>
      <c r="D1458" s="24" t="str">
        <f aca="false">Monthly!$C$49</f>
        <v>G&amp;A</v>
      </c>
      <c r="E1458" s="24" t="str">
        <f aca="false">Monthly!$D$49</f>
        <v>Recruiting</v>
      </c>
      <c r="F1458" s="24" t="str">
        <f aca="false">Monthly!$A$49</f>
        <v>Recruiting — search fees, five applied physicists</v>
      </c>
      <c r="G1458" s="20" t="n">
        <f aca="false">Monthly!V$49</f>
        <v>0</v>
      </c>
      <c r="H1458" s="24" t="str">
        <f aca="false">ScenarioName</f>
        <v>Base</v>
      </c>
    </row>
    <row r="1459" customFormat="false" ht="15" hidden="false" customHeight="false" outlineLevel="0" collapsed="false">
      <c r="A1459" s="8" t="n">
        <v>18</v>
      </c>
      <c r="B1459" s="39" t="n">
        <f aca="false">EDATE(StartDate,A1459-1)</f>
        <v>46905</v>
      </c>
      <c r="C1459" s="24" t="str">
        <f aca="false">Monthly!$B$49</f>
        <v>EnergyWave, Inc.</v>
      </c>
      <c r="D1459" s="24" t="str">
        <f aca="false">Monthly!$C$49</f>
        <v>G&amp;A</v>
      </c>
      <c r="E1459" s="24" t="str">
        <f aca="false">Monthly!$D$49</f>
        <v>Recruiting</v>
      </c>
      <c r="F1459" s="24" t="str">
        <f aca="false">Monthly!$A$49</f>
        <v>Recruiting — search fees, five applied physicists</v>
      </c>
      <c r="G1459" s="20" t="n">
        <f aca="false">Monthly!W$49</f>
        <v>0</v>
      </c>
      <c r="H1459" s="24" t="str">
        <f aca="false">ScenarioName</f>
        <v>Base</v>
      </c>
    </row>
    <row r="1460" customFormat="false" ht="15" hidden="false" customHeight="false" outlineLevel="0" collapsed="false">
      <c r="A1460" s="8" t="n">
        <v>19</v>
      </c>
      <c r="B1460" s="39" t="n">
        <f aca="false">EDATE(StartDate,A1460-1)</f>
        <v>46935</v>
      </c>
      <c r="C1460" s="24" t="str">
        <f aca="false">Monthly!$B$49</f>
        <v>EnergyWave, Inc.</v>
      </c>
      <c r="D1460" s="24" t="str">
        <f aca="false">Monthly!$C$49</f>
        <v>G&amp;A</v>
      </c>
      <c r="E1460" s="24" t="str">
        <f aca="false">Monthly!$D$49</f>
        <v>Recruiting</v>
      </c>
      <c r="F1460" s="24" t="str">
        <f aca="false">Monthly!$A$49</f>
        <v>Recruiting — search fees, five applied physicists</v>
      </c>
      <c r="G1460" s="20" t="n">
        <f aca="false">Monthly!X$49</f>
        <v>0</v>
      </c>
      <c r="H1460" s="24" t="str">
        <f aca="false">ScenarioName</f>
        <v>Base</v>
      </c>
    </row>
    <row r="1461" customFormat="false" ht="15" hidden="false" customHeight="false" outlineLevel="0" collapsed="false">
      <c r="A1461" s="8" t="n">
        <v>20</v>
      </c>
      <c r="B1461" s="39" t="n">
        <f aca="false">EDATE(StartDate,A1461-1)</f>
        <v>46966</v>
      </c>
      <c r="C1461" s="24" t="str">
        <f aca="false">Monthly!$B$49</f>
        <v>EnergyWave, Inc.</v>
      </c>
      <c r="D1461" s="24" t="str">
        <f aca="false">Monthly!$C$49</f>
        <v>G&amp;A</v>
      </c>
      <c r="E1461" s="24" t="str">
        <f aca="false">Monthly!$D$49</f>
        <v>Recruiting</v>
      </c>
      <c r="F1461" s="24" t="str">
        <f aca="false">Monthly!$A$49</f>
        <v>Recruiting — search fees, five applied physicists</v>
      </c>
      <c r="G1461" s="20" t="n">
        <f aca="false">Monthly!Y$49</f>
        <v>0</v>
      </c>
      <c r="H1461" s="24" t="str">
        <f aca="false">ScenarioName</f>
        <v>Base</v>
      </c>
    </row>
    <row r="1462" customFormat="false" ht="15" hidden="false" customHeight="false" outlineLevel="0" collapsed="false">
      <c r="A1462" s="8" t="n">
        <v>21</v>
      </c>
      <c r="B1462" s="39" t="n">
        <f aca="false">EDATE(StartDate,A1462-1)</f>
        <v>46997</v>
      </c>
      <c r="C1462" s="24" t="str">
        <f aca="false">Monthly!$B$49</f>
        <v>EnergyWave, Inc.</v>
      </c>
      <c r="D1462" s="24" t="str">
        <f aca="false">Monthly!$C$49</f>
        <v>G&amp;A</v>
      </c>
      <c r="E1462" s="24" t="str">
        <f aca="false">Monthly!$D$49</f>
        <v>Recruiting</v>
      </c>
      <c r="F1462" s="24" t="str">
        <f aca="false">Monthly!$A$49</f>
        <v>Recruiting — search fees, five applied physicists</v>
      </c>
      <c r="G1462" s="20" t="n">
        <f aca="false">Monthly!Z$49</f>
        <v>0</v>
      </c>
      <c r="H1462" s="24" t="str">
        <f aca="false">ScenarioName</f>
        <v>Base</v>
      </c>
    </row>
    <row r="1463" customFormat="false" ht="15" hidden="false" customHeight="false" outlineLevel="0" collapsed="false">
      <c r="A1463" s="8" t="n">
        <v>22</v>
      </c>
      <c r="B1463" s="39" t="n">
        <f aca="false">EDATE(StartDate,A1463-1)</f>
        <v>47027</v>
      </c>
      <c r="C1463" s="24" t="str">
        <f aca="false">Monthly!$B$49</f>
        <v>EnergyWave, Inc.</v>
      </c>
      <c r="D1463" s="24" t="str">
        <f aca="false">Monthly!$C$49</f>
        <v>G&amp;A</v>
      </c>
      <c r="E1463" s="24" t="str">
        <f aca="false">Monthly!$D$49</f>
        <v>Recruiting</v>
      </c>
      <c r="F1463" s="24" t="str">
        <f aca="false">Monthly!$A$49</f>
        <v>Recruiting — search fees, five applied physicists</v>
      </c>
      <c r="G1463" s="20" t="n">
        <f aca="false">Monthly!AA$49</f>
        <v>0</v>
      </c>
      <c r="H1463" s="24" t="str">
        <f aca="false">ScenarioName</f>
        <v>Base</v>
      </c>
    </row>
    <row r="1464" customFormat="false" ht="15" hidden="false" customHeight="false" outlineLevel="0" collapsed="false">
      <c r="A1464" s="8" t="n">
        <v>23</v>
      </c>
      <c r="B1464" s="39" t="n">
        <f aca="false">EDATE(StartDate,A1464-1)</f>
        <v>47058</v>
      </c>
      <c r="C1464" s="24" t="str">
        <f aca="false">Monthly!$B$49</f>
        <v>EnergyWave, Inc.</v>
      </c>
      <c r="D1464" s="24" t="str">
        <f aca="false">Monthly!$C$49</f>
        <v>G&amp;A</v>
      </c>
      <c r="E1464" s="24" t="str">
        <f aca="false">Monthly!$D$49</f>
        <v>Recruiting</v>
      </c>
      <c r="F1464" s="24" t="str">
        <f aca="false">Monthly!$A$49</f>
        <v>Recruiting — search fees, five applied physicists</v>
      </c>
      <c r="G1464" s="20" t="n">
        <f aca="false">Monthly!AB$49</f>
        <v>0</v>
      </c>
      <c r="H1464" s="24" t="str">
        <f aca="false">ScenarioName</f>
        <v>Base</v>
      </c>
    </row>
    <row r="1465" customFormat="false" ht="15" hidden="false" customHeight="false" outlineLevel="0" collapsed="false">
      <c r="A1465" s="8" t="n">
        <v>24</v>
      </c>
      <c r="B1465" s="39" t="n">
        <f aca="false">EDATE(StartDate,A1465-1)</f>
        <v>47088</v>
      </c>
      <c r="C1465" s="24" t="str">
        <f aca="false">Monthly!$B$49</f>
        <v>EnergyWave, Inc.</v>
      </c>
      <c r="D1465" s="24" t="str">
        <f aca="false">Monthly!$C$49</f>
        <v>G&amp;A</v>
      </c>
      <c r="E1465" s="24" t="str">
        <f aca="false">Monthly!$D$49</f>
        <v>Recruiting</v>
      </c>
      <c r="F1465" s="24" t="str">
        <f aca="false">Monthly!$A$49</f>
        <v>Recruiting — search fees, five applied physicists</v>
      </c>
      <c r="G1465" s="20" t="n">
        <f aca="false">Monthly!AC$49</f>
        <v>0</v>
      </c>
      <c r="H1465" s="24" t="str">
        <f aca="false">ScenarioName</f>
        <v>Base</v>
      </c>
    </row>
    <row r="1466" customFormat="false" ht="15" hidden="false" customHeight="false" outlineLevel="0" collapsed="false">
      <c r="A1466" s="8" t="n">
        <v>25</v>
      </c>
      <c r="B1466" s="39" t="n">
        <f aca="false">EDATE(StartDate,A1466-1)</f>
        <v>47119</v>
      </c>
      <c r="C1466" s="24" t="str">
        <f aca="false">Monthly!$B$49</f>
        <v>EnergyWave, Inc.</v>
      </c>
      <c r="D1466" s="24" t="str">
        <f aca="false">Monthly!$C$49</f>
        <v>G&amp;A</v>
      </c>
      <c r="E1466" s="24" t="str">
        <f aca="false">Monthly!$D$49</f>
        <v>Recruiting</v>
      </c>
      <c r="F1466" s="24" t="str">
        <f aca="false">Monthly!$A$49</f>
        <v>Recruiting — search fees, five applied physicists</v>
      </c>
      <c r="G1466" s="20" t="n">
        <f aca="false">Monthly!AD$49</f>
        <v>0</v>
      </c>
      <c r="H1466" s="24" t="str">
        <f aca="false">ScenarioName</f>
        <v>Base</v>
      </c>
    </row>
    <row r="1467" customFormat="false" ht="15" hidden="false" customHeight="false" outlineLevel="0" collapsed="false">
      <c r="A1467" s="8" t="n">
        <v>26</v>
      </c>
      <c r="B1467" s="39" t="n">
        <f aca="false">EDATE(StartDate,A1467-1)</f>
        <v>47150</v>
      </c>
      <c r="C1467" s="24" t="str">
        <f aca="false">Monthly!$B$49</f>
        <v>EnergyWave, Inc.</v>
      </c>
      <c r="D1467" s="24" t="str">
        <f aca="false">Monthly!$C$49</f>
        <v>G&amp;A</v>
      </c>
      <c r="E1467" s="24" t="str">
        <f aca="false">Monthly!$D$49</f>
        <v>Recruiting</v>
      </c>
      <c r="F1467" s="24" t="str">
        <f aca="false">Monthly!$A$49</f>
        <v>Recruiting — search fees, five applied physicists</v>
      </c>
      <c r="G1467" s="20" t="n">
        <f aca="false">Monthly!AE$49</f>
        <v>0</v>
      </c>
      <c r="H1467" s="24" t="str">
        <f aca="false">ScenarioName</f>
        <v>Base</v>
      </c>
    </row>
    <row r="1468" customFormat="false" ht="15" hidden="false" customHeight="false" outlineLevel="0" collapsed="false">
      <c r="A1468" s="8" t="n">
        <v>27</v>
      </c>
      <c r="B1468" s="39" t="n">
        <f aca="false">EDATE(StartDate,A1468-1)</f>
        <v>47178</v>
      </c>
      <c r="C1468" s="24" t="str">
        <f aca="false">Monthly!$B$49</f>
        <v>EnergyWave, Inc.</v>
      </c>
      <c r="D1468" s="24" t="str">
        <f aca="false">Monthly!$C$49</f>
        <v>G&amp;A</v>
      </c>
      <c r="E1468" s="24" t="str">
        <f aca="false">Monthly!$D$49</f>
        <v>Recruiting</v>
      </c>
      <c r="F1468" s="24" t="str">
        <f aca="false">Monthly!$A$49</f>
        <v>Recruiting — search fees, five applied physicists</v>
      </c>
      <c r="G1468" s="20" t="n">
        <f aca="false">Monthly!AF$49</f>
        <v>0</v>
      </c>
      <c r="H1468" s="24" t="str">
        <f aca="false">ScenarioName</f>
        <v>Base</v>
      </c>
    </row>
    <row r="1469" customFormat="false" ht="15" hidden="false" customHeight="false" outlineLevel="0" collapsed="false">
      <c r="A1469" s="8" t="n">
        <v>28</v>
      </c>
      <c r="B1469" s="39" t="n">
        <f aca="false">EDATE(StartDate,A1469-1)</f>
        <v>47209</v>
      </c>
      <c r="C1469" s="24" t="str">
        <f aca="false">Monthly!$B$49</f>
        <v>EnergyWave, Inc.</v>
      </c>
      <c r="D1469" s="24" t="str">
        <f aca="false">Monthly!$C$49</f>
        <v>G&amp;A</v>
      </c>
      <c r="E1469" s="24" t="str">
        <f aca="false">Monthly!$D$49</f>
        <v>Recruiting</v>
      </c>
      <c r="F1469" s="24" t="str">
        <f aca="false">Monthly!$A$49</f>
        <v>Recruiting — search fees, five applied physicists</v>
      </c>
      <c r="G1469" s="20" t="n">
        <f aca="false">Monthly!AG$49</f>
        <v>0</v>
      </c>
      <c r="H1469" s="24" t="str">
        <f aca="false">ScenarioName</f>
        <v>Base</v>
      </c>
    </row>
    <row r="1470" customFormat="false" ht="15" hidden="false" customHeight="false" outlineLevel="0" collapsed="false">
      <c r="A1470" s="8" t="n">
        <v>29</v>
      </c>
      <c r="B1470" s="39" t="n">
        <f aca="false">EDATE(StartDate,A1470-1)</f>
        <v>47239</v>
      </c>
      <c r="C1470" s="24" t="str">
        <f aca="false">Monthly!$B$49</f>
        <v>EnergyWave, Inc.</v>
      </c>
      <c r="D1470" s="24" t="str">
        <f aca="false">Monthly!$C$49</f>
        <v>G&amp;A</v>
      </c>
      <c r="E1470" s="24" t="str">
        <f aca="false">Monthly!$D$49</f>
        <v>Recruiting</v>
      </c>
      <c r="F1470" s="24" t="str">
        <f aca="false">Monthly!$A$49</f>
        <v>Recruiting — search fees, five applied physicists</v>
      </c>
      <c r="G1470" s="20" t="n">
        <f aca="false">Monthly!AH$49</f>
        <v>0</v>
      </c>
      <c r="H1470" s="24" t="str">
        <f aca="false">ScenarioName</f>
        <v>Base</v>
      </c>
    </row>
    <row r="1471" customFormat="false" ht="15" hidden="false" customHeight="false" outlineLevel="0" collapsed="false">
      <c r="A1471" s="8" t="n">
        <v>30</v>
      </c>
      <c r="B1471" s="39" t="n">
        <f aca="false">EDATE(StartDate,A1471-1)</f>
        <v>47270</v>
      </c>
      <c r="C1471" s="24" t="str">
        <f aca="false">Monthly!$B$49</f>
        <v>EnergyWave, Inc.</v>
      </c>
      <c r="D1471" s="24" t="str">
        <f aca="false">Monthly!$C$49</f>
        <v>G&amp;A</v>
      </c>
      <c r="E1471" s="24" t="str">
        <f aca="false">Monthly!$D$49</f>
        <v>Recruiting</v>
      </c>
      <c r="F1471" s="24" t="str">
        <f aca="false">Monthly!$A$49</f>
        <v>Recruiting — search fees, five applied physicists</v>
      </c>
      <c r="G1471" s="20" t="n">
        <f aca="false">Monthly!AI$49</f>
        <v>0</v>
      </c>
      <c r="H1471" s="24" t="str">
        <f aca="false">ScenarioName</f>
        <v>Base</v>
      </c>
    </row>
    <row r="1472" customFormat="false" ht="15" hidden="false" customHeight="false" outlineLevel="0" collapsed="false">
      <c r="A1472" s="8" t="n">
        <v>31</v>
      </c>
      <c r="B1472" s="39" t="n">
        <f aca="false">EDATE(StartDate,A1472-1)</f>
        <v>47300</v>
      </c>
      <c r="C1472" s="24" t="str">
        <f aca="false">Monthly!$B$49</f>
        <v>EnergyWave, Inc.</v>
      </c>
      <c r="D1472" s="24" t="str">
        <f aca="false">Monthly!$C$49</f>
        <v>G&amp;A</v>
      </c>
      <c r="E1472" s="24" t="str">
        <f aca="false">Monthly!$D$49</f>
        <v>Recruiting</v>
      </c>
      <c r="F1472" s="24" t="str">
        <f aca="false">Monthly!$A$49</f>
        <v>Recruiting — search fees, five applied physicists</v>
      </c>
      <c r="G1472" s="20" t="n">
        <f aca="false">Monthly!AJ$49</f>
        <v>0</v>
      </c>
      <c r="H1472" s="24" t="str">
        <f aca="false">ScenarioName</f>
        <v>Base</v>
      </c>
    </row>
    <row r="1473" customFormat="false" ht="15" hidden="false" customHeight="false" outlineLevel="0" collapsed="false">
      <c r="A1473" s="8" t="n">
        <v>32</v>
      </c>
      <c r="B1473" s="39" t="n">
        <f aca="false">EDATE(StartDate,A1473-1)</f>
        <v>47331</v>
      </c>
      <c r="C1473" s="24" t="str">
        <f aca="false">Monthly!$B$49</f>
        <v>EnergyWave, Inc.</v>
      </c>
      <c r="D1473" s="24" t="str">
        <f aca="false">Monthly!$C$49</f>
        <v>G&amp;A</v>
      </c>
      <c r="E1473" s="24" t="str">
        <f aca="false">Monthly!$D$49</f>
        <v>Recruiting</v>
      </c>
      <c r="F1473" s="24" t="str">
        <f aca="false">Monthly!$A$49</f>
        <v>Recruiting — search fees, five applied physicists</v>
      </c>
      <c r="G1473" s="20" t="n">
        <f aca="false">Monthly!AK$49</f>
        <v>0</v>
      </c>
      <c r="H1473" s="24" t="str">
        <f aca="false">ScenarioName</f>
        <v>Base</v>
      </c>
    </row>
    <row r="1474" customFormat="false" ht="15" hidden="false" customHeight="false" outlineLevel="0" collapsed="false">
      <c r="A1474" s="8" t="n">
        <v>33</v>
      </c>
      <c r="B1474" s="39" t="n">
        <f aca="false">EDATE(StartDate,A1474-1)</f>
        <v>47362</v>
      </c>
      <c r="C1474" s="24" t="str">
        <f aca="false">Monthly!$B$49</f>
        <v>EnergyWave, Inc.</v>
      </c>
      <c r="D1474" s="24" t="str">
        <f aca="false">Monthly!$C$49</f>
        <v>G&amp;A</v>
      </c>
      <c r="E1474" s="24" t="str">
        <f aca="false">Monthly!$D$49</f>
        <v>Recruiting</v>
      </c>
      <c r="F1474" s="24" t="str">
        <f aca="false">Monthly!$A$49</f>
        <v>Recruiting — search fees, five applied physicists</v>
      </c>
      <c r="G1474" s="20" t="n">
        <f aca="false">Monthly!AL$49</f>
        <v>0</v>
      </c>
      <c r="H1474" s="24" t="str">
        <f aca="false">ScenarioName</f>
        <v>Base</v>
      </c>
    </row>
    <row r="1475" customFormat="false" ht="15" hidden="false" customHeight="false" outlineLevel="0" collapsed="false">
      <c r="A1475" s="8" t="n">
        <v>34</v>
      </c>
      <c r="B1475" s="39" t="n">
        <f aca="false">EDATE(StartDate,A1475-1)</f>
        <v>47392</v>
      </c>
      <c r="C1475" s="24" t="str">
        <f aca="false">Monthly!$B$49</f>
        <v>EnergyWave, Inc.</v>
      </c>
      <c r="D1475" s="24" t="str">
        <f aca="false">Monthly!$C$49</f>
        <v>G&amp;A</v>
      </c>
      <c r="E1475" s="24" t="str">
        <f aca="false">Monthly!$D$49</f>
        <v>Recruiting</v>
      </c>
      <c r="F1475" s="24" t="str">
        <f aca="false">Monthly!$A$49</f>
        <v>Recruiting — search fees, five applied physicists</v>
      </c>
      <c r="G1475" s="20" t="n">
        <f aca="false">Monthly!AM$49</f>
        <v>0</v>
      </c>
      <c r="H1475" s="24" t="str">
        <f aca="false">ScenarioName</f>
        <v>Base</v>
      </c>
    </row>
    <row r="1476" customFormat="false" ht="15" hidden="false" customHeight="false" outlineLevel="0" collapsed="false">
      <c r="A1476" s="8" t="n">
        <v>35</v>
      </c>
      <c r="B1476" s="39" t="n">
        <f aca="false">EDATE(StartDate,A1476-1)</f>
        <v>47423</v>
      </c>
      <c r="C1476" s="24" t="str">
        <f aca="false">Monthly!$B$49</f>
        <v>EnergyWave, Inc.</v>
      </c>
      <c r="D1476" s="24" t="str">
        <f aca="false">Monthly!$C$49</f>
        <v>G&amp;A</v>
      </c>
      <c r="E1476" s="24" t="str">
        <f aca="false">Monthly!$D$49</f>
        <v>Recruiting</v>
      </c>
      <c r="F1476" s="24" t="str">
        <f aca="false">Monthly!$A$49</f>
        <v>Recruiting — search fees, five applied physicists</v>
      </c>
      <c r="G1476" s="20" t="n">
        <f aca="false">Monthly!AN$49</f>
        <v>0</v>
      </c>
      <c r="H1476" s="24" t="str">
        <f aca="false">ScenarioName</f>
        <v>Base</v>
      </c>
    </row>
    <row r="1477" customFormat="false" ht="15" hidden="false" customHeight="false" outlineLevel="0" collapsed="false">
      <c r="A1477" s="8" t="n">
        <v>36</v>
      </c>
      <c r="B1477" s="39" t="n">
        <f aca="false">EDATE(StartDate,A1477-1)</f>
        <v>47453</v>
      </c>
      <c r="C1477" s="24" t="str">
        <f aca="false">Monthly!$B$49</f>
        <v>EnergyWave, Inc.</v>
      </c>
      <c r="D1477" s="24" t="str">
        <f aca="false">Monthly!$C$49</f>
        <v>G&amp;A</v>
      </c>
      <c r="E1477" s="24" t="str">
        <f aca="false">Monthly!$D$49</f>
        <v>Recruiting</v>
      </c>
      <c r="F1477" s="24" t="str">
        <f aca="false">Monthly!$A$49</f>
        <v>Recruiting — search fees, five applied physicists</v>
      </c>
      <c r="G1477" s="20" t="n">
        <f aca="false">Monthly!AO$49</f>
        <v>0</v>
      </c>
      <c r="H1477" s="24" t="str">
        <f aca="false">ScenarioName</f>
        <v>Base</v>
      </c>
    </row>
    <row r="1478" customFormat="false" ht="15" hidden="false" customHeight="false" outlineLevel="0" collapsed="false">
      <c r="A1478" s="8" t="n">
        <v>1</v>
      </c>
      <c r="B1478" s="39" t="n">
        <f aca="false">EDATE(StartDate,A1478-1)</f>
        <v>46388</v>
      </c>
      <c r="C1478" s="24" t="str">
        <f aca="false">Monthly!$B$50</f>
        <v>EnergyWave, Inc.</v>
      </c>
      <c r="D1478" s="24" t="str">
        <f aca="false">Monthly!$C$50</f>
        <v>G&amp;A</v>
      </c>
      <c r="E1478" s="24" t="str">
        <f aca="false">Monthly!$D$50</f>
        <v>Recruiting</v>
      </c>
      <c r="F1478" s="24" t="str">
        <f aca="false">Monthly!$A$50</f>
        <v>Recruiting — other roles</v>
      </c>
      <c r="G1478" s="20" t="n">
        <f aca="false">Monthly!F$50</f>
        <v>50000</v>
      </c>
      <c r="H1478" s="24" t="str">
        <f aca="false">ScenarioName</f>
        <v>Base</v>
      </c>
    </row>
    <row r="1479" customFormat="false" ht="15" hidden="false" customHeight="false" outlineLevel="0" collapsed="false">
      <c r="A1479" s="8" t="n">
        <v>2</v>
      </c>
      <c r="B1479" s="39" t="n">
        <f aca="false">EDATE(StartDate,A1479-1)</f>
        <v>46419</v>
      </c>
      <c r="C1479" s="24" t="str">
        <f aca="false">Monthly!$B$50</f>
        <v>EnergyWave, Inc.</v>
      </c>
      <c r="D1479" s="24" t="str">
        <f aca="false">Monthly!$C$50</f>
        <v>G&amp;A</v>
      </c>
      <c r="E1479" s="24" t="str">
        <f aca="false">Monthly!$D$50</f>
        <v>Recruiting</v>
      </c>
      <c r="F1479" s="24" t="str">
        <f aca="false">Monthly!$A$50</f>
        <v>Recruiting — other roles</v>
      </c>
      <c r="G1479" s="20" t="n">
        <f aca="false">Monthly!G$50</f>
        <v>0</v>
      </c>
      <c r="H1479" s="24" t="str">
        <f aca="false">ScenarioName</f>
        <v>Base</v>
      </c>
    </row>
    <row r="1480" customFormat="false" ht="15" hidden="false" customHeight="false" outlineLevel="0" collapsed="false">
      <c r="A1480" s="8" t="n">
        <v>3</v>
      </c>
      <c r="B1480" s="39" t="n">
        <f aca="false">EDATE(StartDate,A1480-1)</f>
        <v>46447</v>
      </c>
      <c r="C1480" s="24" t="str">
        <f aca="false">Monthly!$B$50</f>
        <v>EnergyWave, Inc.</v>
      </c>
      <c r="D1480" s="24" t="str">
        <f aca="false">Monthly!$C$50</f>
        <v>G&amp;A</v>
      </c>
      <c r="E1480" s="24" t="str">
        <f aca="false">Monthly!$D$50</f>
        <v>Recruiting</v>
      </c>
      <c r="F1480" s="24" t="str">
        <f aca="false">Monthly!$A$50</f>
        <v>Recruiting — other roles</v>
      </c>
      <c r="G1480" s="20" t="n">
        <f aca="false">Monthly!H$50</f>
        <v>0</v>
      </c>
      <c r="H1480" s="24" t="str">
        <f aca="false">ScenarioName</f>
        <v>Base</v>
      </c>
    </row>
    <row r="1481" customFormat="false" ht="15" hidden="false" customHeight="false" outlineLevel="0" collapsed="false">
      <c r="A1481" s="8" t="n">
        <v>4</v>
      </c>
      <c r="B1481" s="39" t="n">
        <f aca="false">EDATE(StartDate,A1481-1)</f>
        <v>46478</v>
      </c>
      <c r="C1481" s="24" t="str">
        <f aca="false">Monthly!$B$50</f>
        <v>EnergyWave, Inc.</v>
      </c>
      <c r="D1481" s="24" t="str">
        <f aca="false">Monthly!$C$50</f>
        <v>G&amp;A</v>
      </c>
      <c r="E1481" s="24" t="str">
        <f aca="false">Monthly!$D$50</f>
        <v>Recruiting</v>
      </c>
      <c r="F1481" s="24" t="str">
        <f aca="false">Monthly!$A$50</f>
        <v>Recruiting — other roles</v>
      </c>
      <c r="G1481" s="20" t="n">
        <f aca="false">Monthly!I$50</f>
        <v>0</v>
      </c>
      <c r="H1481" s="24" t="str">
        <f aca="false">ScenarioName</f>
        <v>Base</v>
      </c>
    </row>
    <row r="1482" customFormat="false" ht="15" hidden="false" customHeight="false" outlineLevel="0" collapsed="false">
      <c r="A1482" s="8" t="n">
        <v>5</v>
      </c>
      <c r="B1482" s="39" t="n">
        <f aca="false">EDATE(StartDate,A1482-1)</f>
        <v>46508</v>
      </c>
      <c r="C1482" s="24" t="str">
        <f aca="false">Monthly!$B$50</f>
        <v>EnergyWave, Inc.</v>
      </c>
      <c r="D1482" s="24" t="str">
        <f aca="false">Monthly!$C$50</f>
        <v>G&amp;A</v>
      </c>
      <c r="E1482" s="24" t="str">
        <f aca="false">Monthly!$D$50</f>
        <v>Recruiting</v>
      </c>
      <c r="F1482" s="24" t="str">
        <f aca="false">Monthly!$A$50</f>
        <v>Recruiting — other roles</v>
      </c>
      <c r="G1482" s="20" t="n">
        <f aca="false">Monthly!J$50</f>
        <v>0</v>
      </c>
      <c r="H1482" s="24" t="str">
        <f aca="false">ScenarioName</f>
        <v>Base</v>
      </c>
    </row>
    <row r="1483" customFormat="false" ht="15" hidden="false" customHeight="false" outlineLevel="0" collapsed="false">
      <c r="A1483" s="8" t="n">
        <v>6</v>
      </c>
      <c r="B1483" s="39" t="n">
        <f aca="false">EDATE(StartDate,A1483-1)</f>
        <v>46539</v>
      </c>
      <c r="C1483" s="24" t="str">
        <f aca="false">Monthly!$B$50</f>
        <v>EnergyWave, Inc.</v>
      </c>
      <c r="D1483" s="24" t="str">
        <f aca="false">Monthly!$C$50</f>
        <v>G&amp;A</v>
      </c>
      <c r="E1483" s="24" t="str">
        <f aca="false">Monthly!$D$50</f>
        <v>Recruiting</v>
      </c>
      <c r="F1483" s="24" t="str">
        <f aca="false">Monthly!$A$50</f>
        <v>Recruiting — other roles</v>
      </c>
      <c r="G1483" s="20" t="n">
        <f aca="false">Monthly!K$50</f>
        <v>0</v>
      </c>
      <c r="H1483" s="24" t="str">
        <f aca="false">ScenarioName</f>
        <v>Base</v>
      </c>
    </row>
    <row r="1484" customFormat="false" ht="15" hidden="false" customHeight="false" outlineLevel="0" collapsed="false">
      <c r="A1484" s="8" t="n">
        <v>7</v>
      </c>
      <c r="B1484" s="39" t="n">
        <f aca="false">EDATE(StartDate,A1484-1)</f>
        <v>46569</v>
      </c>
      <c r="C1484" s="24" t="str">
        <f aca="false">Monthly!$B$50</f>
        <v>EnergyWave, Inc.</v>
      </c>
      <c r="D1484" s="24" t="str">
        <f aca="false">Monthly!$C$50</f>
        <v>G&amp;A</v>
      </c>
      <c r="E1484" s="24" t="str">
        <f aca="false">Monthly!$D$50</f>
        <v>Recruiting</v>
      </c>
      <c r="F1484" s="24" t="str">
        <f aca="false">Monthly!$A$50</f>
        <v>Recruiting — other roles</v>
      </c>
      <c r="G1484" s="20" t="n">
        <f aca="false">Monthly!L$50</f>
        <v>0</v>
      </c>
      <c r="H1484" s="24" t="str">
        <f aca="false">ScenarioName</f>
        <v>Base</v>
      </c>
    </row>
    <row r="1485" customFormat="false" ht="15" hidden="false" customHeight="false" outlineLevel="0" collapsed="false">
      <c r="A1485" s="8" t="n">
        <v>8</v>
      </c>
      <c r="B1485" s="39" t="n">
        <f aca="false">EDATE(StartDate,A1485-1)</f>
        <v>46600</v>
      </c>
      <c r="C1485" s="24" t="str">
        <f aca="false">Monthly!$B$50</f>
        <v>EnergyWave, Inc.</v>
      </c>
      <c r="D1485" s="24" t="str">
        <f aca="false">Monthly!$C$50</f>
        <v>G&amp;A</v>
      </c>
      <c r="E1485" s="24" t="str">
        <f aca="false">Monthly!$D$50</f>
        <v>Recruiting</v>
      </c>
      <c r="F1485" s="24" t="str">
        <f aca="false">Monthly!$A$50</f>
        <v>Recruiting — other roles</v>
      </c>
      <c r="G1485" s="20" t="n">
        <f aca="false">Monthly!M$50</f>
        <v>0</v>
      </c>
      <c r="H1485" s="24" t="str">
        <f aca="false">ScenarioName</f>
        <v>Base</v>
      </c>
    </row>
    <row r="1486" customFormat="false" ht="15" hidden="false" customHeight="false" outlineLevel="0" collapsed="false">
      <c r="A1486" s="8" t="n">
        <v>9</v>
      </c>
      <c r="B1486" s="39" t="n">
        <f aca="false">EDATE(StartDate,A1486-1)</f>
        <v>46631</v>
      </c>
      <c r="C1486" s="24" t="str">
        <f aca="false">Monthly!$B$50</f>
        <v>EnergyWave, Inc.</v>
      </c>
      <c r="D1486" s="24" t="str">
        <f aca="false">Monthly!$C$50</f>
        <v>G&amp;A</v>
      </c>
      <c r="E1486" s="24" t="str">
        <f aca="false">Monthly!$D$50</f>
        <v>Recruiting</v>
      </c>
      <c r="F1486" s="24" t="str">
        <f aca="false">Monthly!$A$50</f>
        <v>Recruiting — other roles</v>
      </c>
      <c r="G1486" s="20" t="n">
        <f aca="false">Monthly!N$50</f>
        <v>0</v>
      </c>
      <c r="H1486" s="24" t="str">
        <f aca="false">ScenarioName</f>
        <v>Base</v>
      </c>
    </row>
    <row r="1487" customFormat="false" ht="15" hidden="false" customHeight="false" outlineLevel="0" collapsed="false">
      <c r="A1487" s="8" t="n">
        <v>10</v>
      </c>
      <c r="B1487" s="39" t="n">
        <f aca="false">EDATE(StartDate,A1487-1)</f>
        <v>46661</v>
      </c>
      <c r="C1487" s="24" t="str">
        <f aca="false">Monthly!$B$50</f>
        <v>EnergyWave, Inc.</v>
      </c>
      <c r="D1487" s="24" t="str">
        <f aca="false">Monthly!$C$50</f>
        <v>G&amp;A</v>
      </c>
      <c r="E1487" s="24" t="str">
        <f aca="false">Monthly!$D$50</f>
        <v>Recruiting</v>
      </c>
      <c r="F1487" s="24" t="str">
        <f aca="false">Monthly!$A$50</f>
        <v>Recruiting — other roles</v>
      </c>
      <c r="G1487" s="20" t="n">
        <f aca="false">Monthly!O$50</f>
        <v>0</v>
      </c>
      <c r="H1487" s="24" t="str">
        <f aca="false">ScenarioName</f>
        <v>Base</v>
      </c>
    </row>
    <row r="1488" customFormat="false" ht="15" hidden="false" customHeight="false" outlineLevel="0" collapsed="false">
      <c r="A1488" s="8" t="n">
        <v>11</v>
      </c>
      <c r="B1488" s="39" t="n">
        <f aca="false">EDATE(StartDate,A1488-1)</f>
        <v>46692</v>
      </c>
      <c r="C1488" s="24" t="str">
        <f aca="false">Monthly!$B$50</f>
        <v>EnergyWave, Inc.</v>
      </c>
      <c r="D1488" s="24" t="str">
        <f aca="false">Monthly!$C$50</f>
        <v>G&amp;A</v>
      </c>
      <c r="E1488" s="24" t="str">
        <f aca="false">Monthly!$D$50</f>
        <v>Recruiting</v>
      </c>
      <c r="F1488" s="24" t="str">
        <f aca="false">Monthly!$A$50</f>
        <v>Recruiting — other roles</v>
      </c>
      <c r="G1488" s="20" t="n">
        <f aca="false">Monthly!P$50</f>
        <v>0</v>
      </c>
      <c r="H1488" s="24" t="str">
        <f aca="false">ScenarioName</f>
        <v>Base</v>
      </c>
    </row>
    <row r="1489" customFormat="false" ht="15" hidden="false" customHeight="false" outlineLevel="0" collapsed="false">
      <c r="A1489" s="8" t="n">
        <v>12</v>
      </c>
      <c r="B1489" s="39" t="n">
        <f aca="false">EDATE(StartDate,A1489-1)</f>
        <v>46722</v>
      </c>
      <c r="C1489" s="24" t="str">
        <f aca="false">Monthly!$B$50</f>
        <v>EnergyWave, Inc.</v>
      </c>
      <c r="D1489" s="24" t="str">
        <f aca="false">Monthly!$C$50</f>
        <v>G&amp;A</v>
      </c>
      <c r="E1489" s="24" t="str">
        <f aca="false">Monthly!$D$50</f>
        <v>Recruiting</v>
      </c>
      <c r="F1489" s="24" t="str">
        <f aca="false">Monthly!$A$50</f>
        <v>Recruiting — other roles</v>
      </c>
      <c r="G1489" s="20" t="n">
        <f aca="false">Monthly!Q$50</f>
        <v>0</v>
      </c>
      <c r="H1489" s="24" t="str">
        <f aca="false">ScenarioName</f>
        <v>Base</v>
      </c>
    </row>
    <row r="1490" customFormat="false" ht="15" hidden="false" customHeight="false" outlineLevel="0" collapsed="false">
      <c r="A1490" s="8" t="n">
        <v>13</v>
      </c>
      <c r="B1490" s="39" t="n">
        <f aca="false">EDATE(StartDate,A1490-1)</f>
        <v>46753</v>
      </c>
      <c r="C1490" s="24" t="str">
        <f aca="false">Monthly!$B$50</f>
        <v>EnergyWave, Inc.</v>
      </c>
      <c r="D1490" s="24" t="str">
        <f aca="false">Monthly!$C$50</f>
        <v>G&amp;A</v>
      </c>
      <c r="E1490" s="24" t="str">
        <f aca="false">Monthly!$D$50</f>
        <v>Recruiting</v>
      </c>
      <c r="F1490" s="24" t="str">
        <f aca="false">Monthly!$A$50</f>
        <v>Recruiting — other roles</v>
      </c>
      <c r="G1490" s="20" t="n">
        <f aca="false">Monthly!R$50</f>
        <v>0</v>
      </c>
      <c r="H1490" s="24" t="str">
        <f aca="false">ScenarioName</f>
        <v>Base</v>
      </c>
    </row>
    <row r="1491" customFormat="false" ht="15" hidden="false" customHeight="false" outlineLevel="0" collapsed="false">
      <c r="A1491" s="8" t="n">
        <v>14</v>
      </c>
      <c r="B1491" s="39" t="n">
        <f aca="false">EDATE(StartDate,A1491-1)</f>
        <v>46784</v>
      </c>
      <c r="C1491" s="24" t="str">
        <f aca="false">Monthly!$B$50</f>
        <v>EnergyWave, Inc.</v>
      </c>
      <c r="D1491" s="24" t="str">
        <f aca="false">Monthly!$C$50</f>
        <v>G&amp;A</v>
      </c>
      <c r="E1491" s="24" t="str">
        <f aca="false">Monthly!$D$50</f>
        <v>Recruiting</v>
      </c>
      <c r="F1491" s="24" t="str">
        <f aca="false">Monthly!$A$50</f>
        <v>Recruiting — other roles</v>
      </c>
      <c r="G1491" s="20" t="n">
        <f aca="false">Monthly!S$50</f>
        <v>0</v>
      </c>
      <c r="H1491" s="24" t="str">
        <f aca="false">ScenarioName</f>
        <v>Base</v>
      </c>
    </row>
    <row r="1492" customFormat="false" ht="15" hidden="false" customHeight="false" outlineLevel="0" collapsed="false">
      <c r="A1492" s="8" t="n">
        <v>15</v>
      </c>
      <c r="B1492" s="39" t="n">
        <f aca="false">EDATE(StartDate,A1492-1)</f>
        <v>46813</v>
      </c>
      <c r="C1492" s="24" t="str">
        <f aca="false">Monthly!$B$50</f>
        <v>EnergyWave, Inc.</v>
      </c>
      <c r="D1492" s="24" t="str">
        <f aca="false">Monthly!$C$50</f>
        <v>G&amp;A</v>
      </c>
      <c r="E1492" s="24" t="str">
        <f aca="false">Monthly!$D$50</f>
        <v>Recruiting</v>
      </c>
      <c r="F1492" s="24" t="str">
        <f aca="false">Monthly!$A$50</f>
        <v>Recruiting — other roles</v>
      </c>
      <c r="G1492" s="20" t="n">
        <f aca="false">Monthly!T$50</f>
        <v>0</v>
      </c>
      <c r="H1492" s="24" t="str">
        <f aca="false">ScenarioName</f>
        <v>Base</v>
      </c>
    </row>
    <row r="1493" customFormat="false" ht="15" hidden="false" customHeight="false" outlineLevel="0" collapsed="false">
      <c r="A1493" s="8" t="n">
        <v>16</v>
      </c>
      <c r="B1493" s="39" t="n">
        <f aca="false">EDATE(StartDate,A1493-1)</f>
        <v>46844</v>
      </c>
      <c r="C1493" s="24" t="str">
        <f aca="false">Monthly!$B$50</f>
        <v>EnergyWave, Inc.</v>
      </c>
      <c r="D1493" s="24" t="str">
        <f aca="false">Monthly!$C$50</f>
        <v>G&amp;A</v>
      </c>
      <c r="E1493" s="24" t="str">
        <f aca="false">Monthly!$D$50</f>
        <v>Recruiting</v>
      </c>
      <c r="F1493" s="24" t="str">
        <f aca="false">Monthly!$A$50</f>
        <v>Recruiting — other roles</v>
      </c>
      <c r="G1493" s="20" t="n">
        <f aca="false">Monthly!U$50</f>
        <v>0</v>
      </c>
      <c r="H1493" s="24" t="str">
        <f aca="false">ScenarioName</f>
        <v>Base</v>
      </c>
    </row>
    <row r="1494" customFormat="false" ht="15" hidden="false" customHeight="false" outlineLevel="0" collapsed="false">
      <c r="A1494" s="8" t="n">
        <v>17</v>
      </c>
      <c r="B1494" s="39" t="n">
        <f aca="false">EDATE(StartDate,A1494-1)</f>
        <v>46874</v>
      </c>
      <c r="C1494" s="24" t="str">
        <f aca="false">Monthly!$B$50</f>
        <v>EnergyWave, Inc.</v>
      </c>
      <c r="D1494" s="24" t="str">
        <f aca="false">Monthly!$C$50</f>
        <v>G&amp;A</v>
      </c>
      <c r="E1494" s="24" t="str">
        <f aca="false">Monthly!$D$50</f>
        <v>Recruiting</v>
      </c>
      <c r="F1494" s="24" t="str">
        <f aca="false">Monthly!$A$50</f>
        <v>Recruiting — other roles</v>
      </c>
      <c r="G1494" s="20" t="n">
        <f aca="false">Monthly!V$50</f>
        <v>0</v>
      </c>
      <c r="H1494" s="24" t="str">
        <f aca="false">ScenarioName</f>
        <v>Base</v>
      </c>
    </row>
    <row r="1495" customFormat="false" ht="15" hidden="false" customHeight="false" outlineLevel="0" collapsed="false">
      <c r="A1495" s="8" t="n">
        <v>18</v>
      </c>
      <c r="B1495" s="39" t="n">
        <f aca="false">EDATE(StartDate,A1495-1)</f>
        <v>46905</v>
      </c>
      <c r="C1495" s="24" t="str">
        <f aca="false">Monthly!$B$50</f>
        <v>EnergyWave, Inc.</v>
      </c>
      <c r="D1495" s="24" t="str">
        <f aca="false">Monthly!$C$50</f>
        <v>G&amp;A</v>
      </c>
      <c r="E1495" s="24" t="str">
        <f aca="false">Monthly!$D$50</f>
        <v>Recruiting</v>
      </c>
      <c r="F1495" s="24" t="str">
        <f aca="false">Monthly!$A$50</f>
        <v>Recruiting — other roles</v>
      </c>
      <c r="G1495" s="20" t="n">
        <f aca="false">Monthly!W$50</f>
        <v>0</v>
      </c>
      <c r="H1495" s="24" t="str">
        <f aca="false">ScenarioName</f>
        <v>Base</v>
      </c>
    </row>
    <row r="1496" customFormat="false" ht="15" hidden="false" customHeight="false" outlineLevel="0" collapsed="false">
      <c r="A1496" s="8" t="n">
        <v>19</v>
      </c>
      <c r="B1496" s="39" t="n">
        <f aca="false">EDATE(StartDate,A1496-1)</f>
        <v>46935</v>
      </c>
      <c r="C1496" s="24" t="str">
        <f aca="false">Monthly!$B$50</f>
        <v>EnergyWave, Inc.</v>
      </c>
      <c r="D1496" s="24" t="str">
        <f aca="false">Monthly!$C$50</f>
        <v>G&amp;A</v>
      </c>
      <c r="E1496" s="24" t="str">
        <f aca="false">Monthly!$D$50</f>
        <v>Recruiting</v>
      </c>
      <c r="F1496" s="24" t="str">
        <f aca="false">Monthly!$A$50</f>
        <v>Recruiting — other roles</v>
      </c>
      <c r="G1496" s="20" t="n">
        <f aca="false">Monthly!X$50</f>
        <v>0</v>
      </c>
      <c r="H1496" s="24" t="str">
        <f aca="false">ScenarioName</f>
        <v>Base</v>
      </c>
    </row>
    <row r="1497" customFormat="false" ht="15" hidden="false" customHeight="false" outlineLevel="0" collapsed="false">
      <c r="A1497" s="8" t="n">
        <v>20</v>
      </c>
      <c r="B1497" s="39" t="n">
        <f aca="false">EDATE(StartDate,A1497-1)</f>
        <v>46966</v>
      </c>
      <c r="C1497" s="24" t="str">
        <f aca="false">Monthly!$B$50</f>
        <v>EnergyWave, Inc.</v>
      </c>
      <c r="D1497" s="24" t="str">
        <f aca="false">Monthly!$C$50</f>
        <v>G&amp;A</v>
      </c>
      <c r="E1497" s="24" t="str">
        <f aca="false">Monthly!$D$50</f>
        <v>Recruiting</v>
      </c>
      <c r="F1497" s="24" t="str">
        <f aca="false">Monthly!$A$50</f>
        <v>Recruiting — other roles</v>
      </c>
      <c r="G1497" s="20" t="n">
        <f aca="false">Monthly!Y$50</f>
        <v>0</v>
      </c>
      <c r="H1497" s="24" t="str">
        <f aca="false">ScenarioName</f>
        <v>Base</v>
      </c>
    </row>
    <row r="1498" customFormat="false" ht="15" hidden="false" customHeight="false" outlineLevel="0" collapsed="false">
      <c r="A1498" s="8" t="n">
        <v>21</v>
      </c>
      <c r="B1498" s="39" t="n">
        <f aca="false">EDATE(StartDate,A1498-1)</f>
        <v>46997</v>
      </c>
      <c r="C1498" s="24" t="str">
        <f aca="false">Monthly!$B$50</f>
        <v>EnergyWave, Inc.</v>
      </c>
      <c r="D1498" s="24" t="str">
        <f aca="false">Monthly!$C$50</f>
        <v>G&amp;A</v>
      </c>
      <c r="E1498" s="24" t="str">
        <f aca="false">Monthly!$D$50</f>
        <v>Recruiting</v>
      </c>
      <c r="F1498" s="24" t="str">
        <f aca="false">Monthly!$A$50</f>
        <v>Recruiting — other roles</v>
      </c>
      <c r="G1498" s="20" t="n">
        <f aca="false">Monthly!Z$50</f>
        <v>0</v>
      </c>
      <c r="H1498" s="24" t="str">
        <f aca="false">ScenarioName</f>
        <v>Base</v>
      </c>
    </row>
    <row r="1499" customFormat="false" ht="15" hidden="false" customHeight="false" outlineLevel="0" collapsed="false">
      <c r="A1499" s="8" t="n">
        <v>22</v>
      </c>
      <c r="B1499" s="39" t="n">
        <f aca="false">EDATE(StartDate,A1499-1)</f>
        <v>47027</v>
      </c>
      <c r="C1499" s="24" t="str">
        <f aca="false">Monthly!$B$50</f>
        <v>EnergyWave, Inc.</v>
      </c>
      <c r="D1499" s="24" t="str">
        <f aca="false">Monthly!$C$50</f>
        <v>G&amp;A</v>
      </c>
      <c r="E1499" s="24" t="str">
        <f aca="false">Monthly!$D$50</f>
        <v>Recruiting</v>
      </c>
      <c r="F1499" s="24" t="str">
        <f aca="false">Monthly!$A$50</f>
        <v>Recruiting — other roles</v>
      </c>
      <c r="G1499" s="20" t="n">
        <f aca="false">Monthly!AA$50</f>
        <v>0</v>
      </c>
      <c r="H1499" s="24" t="str">
        <f aca="false">ScenarioName</f>
        <v>Base</v>
      </c>
    </row>
    <row r="1500" customFormat="false" ht="15" hidden="false" customHeight="false" outlineLevel="0" collapsed="false">
      <c r="A1500" s="8" t="n">
        <v>23</v>
      </c>
      <c r="B1500" s="39" t="n">
        <f aca="false">EDATE(StartDate,A1500-1)</f>
        <v>47058</v>
      </c>
      <c r="C1500" s="24" t="str">
        <f aca="false">Monthly!$B$50</f>
        <v>EnergyWave, Inc.</v>
      </c>
      <c r="D1500" s="24" t="str">
        <f aca="false">Monthly!$C$50</f>
        <v>G&amp;A</v>
      </c>
      <c r="E1500" s="24" t="str">
        <f aca="false">Monthly!$D$50</f>
        <v>Recruiting</v>
      </c>
      <c r="F1500" s="24" t="str">
        <f aca="false">Monthly!$A$50</f>
        <v>Recruiting — other roles</v>
      </c>
      <c r="G1500" s="20" t="n">
        <f aca="false">Monthly!AB$50</f>
        <v>0</v>
      </c>
      <c r="H1500" s="24" t="str">
        <f aca="false">ScenarioName</f>
        <v>Base</v>
      </c>
    </row>
    <row r="1501" customFormat="false" ht="15" hidden="false" customHeight="false" outlineLevel="0" collapsed="false">
      <c r="A1501" s="8" t="n">
        <v>24</v>
      </c>
      <c r="B1501" s="39" t="n">
        <f aca="false">EDATE(StartDate,A1501-1)</f>
        <v>47088</v>
      </c>
      <c r="C1501" s="24" t="str">
        <f aca="false">Monthly!$B$50</f>
        <v>EnergyWave, Inc.</v>
      </c>
      <c r="D1501" s="24" t="str">
        <f aca="false">Monthly!$C$50</f>
        <v>G&amp;A</v>
      </c>
      <c r="E1501" s="24" t="str">
        <f aca="false">Monthly!$D$50</f>
        <v>Recruiting</v>
      </c>
      <c r="F1501" s="24" t="str">
        <f aca="false">Monthly!$A$50</f>
        <v>Recruiting — other roles</v>
      </c>
      <c r="G1501" s="20" t="n">
        <f aca="false">Monthly!AC$50</f>
        <v>0</v>
      </c>
      <c r="H1501" s="24" t="str">
        <f aca="false">ScenarioName</f>
        <v>Base</v>
      </c>
    </row>
    <row r="1502" customFormat="false" ht="15" hidden="false" customHeight="false" outlineLevel="0" collapsed="false">
      <c r="A1502" s="8" t="n">
        <v>25</v>
      </c>
      <c r="B1502" s="39" t="n">
        <f aca="false">EDATE(StartDate,A1502-1)</f>
        <v>47119</v>
      </c>
      <c r="C1502" s="24" t="str">
        <f aca="false">Monthly!$B$50</f>
        <v>EnergyWave, Inc.</v>
      </c>
      <c r="D1502" s="24" t="str">
        <f aca="false">Monthly!$C$50</f>
        <v>G&amp;A</v>
      </c>
      <c r="E1502" s="24" t="str">
        <f aca="false">Monthly!$D$50</f>
        <v>Recruiting</v>
      </c>
      <c r="F1502" s="24" t="str">
        <f aca="false">Monthly!$A$50</f>
        <v>Recruiting — other roles</v>
      </c>
      <c r="G1502" s="20" t="n">
        <f aca="false">Monthly!AD$50</f>
        <v>0</v>
      </c>
      <c r="H1502" s="24" t="str">
        <f aca="false">ScenarioName</f>
        <v>Base</v>
      </c>
    </row>
    <row r="1503" customFormat="false" ht="15" hidden="false" customHeight="false" outlineLevel="0" collapsed="false">
      <c r="A1503" s="8" t="n">
        <v>26</v>
      </c>
      <c r="B1503" s="39" t="n">
        <f aca="false">EDATE(StartDate,A1503-1)</f>
        <v>47150</v>
      </c>
      <c r="C1503" s="24" t="str">
        <f aca="false">Monthly!$B$50</f>
        <v>EnergyWave, Inc.</v>
      </c>
      <c r="D1503" s="24" t="str">
        <f aca="false">Monthly!$C$50</f>
        <v>G&amp;A</v>
      </c>
      <c r="E1503" s="24" t="str">
        <f aca="false">Monthly!$D$50</f>
        <v>Recruiting</v>
      </c>
      <c r="F1503" s="24" t="str">
        <f aca="false">Monthly!$A$50</f>
        <v>Recruiting — other roles</v>
      </c>
      <c r="G1503" s="20" t="n">
        <f aca="false">Monthly!AE$50</f>
        <v>0</v>
      </c>
      <c r="H1503" s="24" t="str">
        <f aca="false">ScenarioName</f>
        <v>Base</v>
      </c>
    </row>
    <row r="1504" customFormat="false" ht="15" hidden="false" customHeight="false" outlineLevel="0" collapsed="false">
      <c r="A1504" s="8" t="n">
        <v>27</v>
      </c>
      <c r="B1504" s="39" t="n">
        <f aca="false">EDATE(StartDate,A1504-1)</f>
        <v>47178</v>
      </c>
      <c r="C1504" s="24" t="str">
        <f aca="false">Monthly!$B$50</f>
        <v>EnergyWave, Inc.</v>
      </c>
      <c r="D1504" s="24" t="str">
        <f aca="false">Monthly!$C$50</f>
        <v>G&amp;A</v>
      </c>
      <c r="E1504" s="24" t="str">
        <f aca="false">Monthly!$D$50</f>
        <v>Recruiting</v>
      </c>
      <c r="F1504" s="24" t="str">
        <f aca="false">Monthly!$A$50</f>
        <v>Recruiting — other roles</v>
      </c>
      <c r="G1504" s="20" t="n">
        <f aca="false">Monthly!AF$50</f>
        <v>0</v>
      </c>
      <c r="H1504" s="24" t="str">
        <f aca="false">ScenarioName</f>
        <v>Base</v>
      </c>
    </row>
    <row r="1505" customFormat="false" ht="15" hidden="false" customHeight="false" outlineLevel="0" collapsed="false">
      <c r="A1505" s="8" t="n">
        <v>28</v>
      </c>
      <c r="B1505" s="39" t="n">
        <f aca="false">EDATE(StartDate,A1505-1)</f>
        <v>47209</v>
      </c>
      <c r="C1505" s="24" t="str">
        <f aca="false">Monthly!$B$50</f>
        <v>EnergyWave, Inc.</v>
      </c>
      <c r="D1505" s="24" t="str">
        <f aca="false">Monthly!$C$50</f>
        <v>G&amp;A</v>
      </c>
      <c r="E1505" s="24" t="str">
        <f aca="false">Monthly!$D$50</f>
        <v>Recruiting</v>
      </c>
      <c r="F1505" s="24" t="str">
        <f aca="false">Monthly!$A$50</f>
        <v>Recruiting — other roles</v>
      </c>
      <c r="G1505" s="20" t="n">
        <f aca="false">Monthly!AG$50</f>
        <v>0</v>
      </c>
      <c r="H1505" s="24" t="str">
        <f aca="false">ScenarioName</f>
        <v>Base</v>
      </c>
    </row>
    <row r="1506" customFormat="false" ht="15" hidden="false" customHeight="false" outlineLevel="0" collapsed="false">
      <c r="A1506" s="8" t="n">
        <v>29</v>
      </c>
      <c r="B1506" s="39" t="n">
        <f aca="false">EDATE(StartDate,A1506-1)</f>
        <v>47239</v>
      </c>
      <c r="C1506" s="24" t="str">
        <f aca="false">Monthly!$B$50</f>
        <v>EnergyWave, Inc.</v>
      </c>
      <c r="D1506" s="24" t="str">
        <f aca="false">Monthly!$C$50</f>
        <v>G&amp;A</v>
      </c>
      <c r="E1506" s="24" t="str">
        <f aca="false">Monthly!$D$50</f>
        <v>Recruiting</v>
      </c>
      <c r="F1506" s="24" t="str">
        <f aca="false">Monthly!$A$50</f>
        <v>Recruiting — other roles</v>
      </c>
      <c r="G1506" s="20" t="n">
        <f aca="false">Monthly!AH$50</f>
        <v>0</v>
      </c>
      <c r="H1506" s="24" t="str">
        <f aca="false">ScenarioName</f>
        <v>Base</v>
      </c>
    </row>
    <row r="1507" customFormat="false" ht="15" hidden="false" customHeight="false" outlineLevel="0" collapsed="false">
      <c r="A1507" s="8" t="n">
        <v>30</v>
      </c>
      <c r="B1507" s="39" t="n">
        <f aca="false">EDATE(StartDate,A1507-1)</f>
        <v>47270</v>
      </c>
      <c r="C1507" s="24" t="str">
        <f aca="false">Monthly!$B$50</f>
        <v>EnergyWave, Inc.</v>
      </c>
      <c r="D1507" s="24" t="str">
        <f aca="false">Monthly!$C$50</f>
        <v>G&amp;A</v>
      </c>
      <c r="E1507" s="24" t="str">
        <f aca="false">Monthly!$D$50</f>
        <v>Recruiting</v>
      </c>
      <c r="F1507" s="24" t="str">
        <f aca="false">Monthly!$A$50</f>
        <v>Recruiting — other roles</v>
      </c>
      <c r="G1507" s="20" t="n">
        <f aca="false">Monthly!AI$50</f>
        <v>0</v>
      </c>
      <c r="H1507" s="24" t="str">
        <f aca="false">ScenarioName</f>
        <v>Base</v>
      </c>
    </row>
    <row r="1508" customFormat="false" ht="15" hidden="false" customHeight="false" outlineLevel="0" collapsed="false">
      <c r="A1508" s="8" t="n">
        <v>31</v>
      </c>
      <c r="B1508" s="39" t="n">
        <f aca="false">EDATE(StartDate,A1508-1)</f>
        <v>47300</v>
      </c>
      <c r="C1508" s="24" t="str">
        <f aca="false">Monthly!$B$50</f>
        <v>EnergyWave, Inc.</v>
      </c>
      <c r="D1508" s="24" t="str">
        <f aca="false">Monthly!$C$50</f>
        <v>G&amp;A</v>
      </c>
      <c r="E1508" s="24" t="str">
        <f aca="false">Monthly!$D$50</f>
        <v>Recruiting</v>
      </c>
      <c r="F1508" s="24" t="str">
        <f aca="false">Monthly!$A$50</f>
        <v>Recruiting — other roles</v>
      </c>
      <c r="G1508" s="20" t="n">
        <f aca="false">Monthly!AJ$50</f>
        <v>0</v>
      </c>
      <c r="H1508" s="24" t="str">
        <f aca="false">ScenarioName</f>
        <v>Base</v>
      </c>
    </row>
    <row r="1509" customFormat="false" ht="15" hidden="false" customHeight="false" outlineLevel="0" collapsed="false">
      <c r="A1509" s="8" t="n">
        <v>32</v>
      </c>
      <c r="B1509" s="39" t="n">
        <f aca="false">EDATE(StartDate,A1509-1)</f>
        <v>47331</v>
      </c>
      <c r="C1509" s="24" t="str">
        <f aca="false">Monthly!$B$50</f>
        <v>EnergyWave, Inc.</v>
      </c>
      <c r="D1509" s="24" t="str">
        <f aca="false">Monthly!$C$50</f>
        <v>G&amp;A</v>
      </c>
      <c r="E1509" s="24" t="str">
        <f aca="false">Monthly!$D$50</f>
        <v>Recruiting</v>
      </c>
      <c r="F1509" s="24" t="str">
        <f aca="false">Monthly!$A$50</f>
        <v>Recruiting — other roles</v>
      </c>
      <c r="G1509" s="20" t="n">
        <f aca="false">Monthly!AK$50</f>
        <v>0</v>
      </c>
      <c r="H1509" s="24" t="str">
        <f aca="false">ScenarioName</f>
        <v>Base</v>
      </c>
    </row>
    <row r="1510" customFormat="false" ht="15" hidden="false" customHeight="false" outlineLevel="0" collapsed="false">
      <c r="A1510" s="8" t="n">
        <v>33</v>
      </c>
      <c r="B1510" s="39" t="n">
        <f aca="false">EDATE(StartDate,A1510-1)</f>
        <v>47362</v>
      </c>
      <c r="C1510" s="24" t="str">
        <f aca="false">Monthly!$B$50</f>
        <v>EnergyWave, Inc.</v>
      </c>
      <c r="D1510" s="24" t="str">
        <f aca="false">Monthly!$C$50</f>
        <v>G&amp;A</v>
      </c>
      <c r="E1510" s="24" t="str">
        <f aca="false">Monthly!$D$50</f>
        <v>Recruiting</v>
      </c>
      <c r="F1510" s="24" t="str">
        <f aca="false">Monthly!$A$50</f>
        <v>Recruiting — other roles</v>
      </c>
      <c r="G1510" s="20" t="n">
        <f aca="false">Monthly!AL$50</f>
        <v>0</v>
      </c>
      <c r="H1510" s="24" t="str">
        <f aca="false">ScenarioName</f>
        <v>Base</v>
      </c>
    </row>
    <row r="1511" customFormat="false" ht="15" hidden="false" customHeight="false" outlineLevel="0" collapsed="false">
      <c r="A1511" s="8" t="n">
        <v>34</v>
      </c>
      <c r="B1511" s="39" t="n">
        <f aca="false">EDATE(StartDate,A1511-1)</f>
        <v>47392</v>
      </c>
      <c r="C1511" s="24" t="str">
        <f aca="false">Monthly!$B$50</f>
        <v>EnergyWave, Inc.</v>
      </c>
      <c r="D1511" s="24" t="str">
        <f aca="false">Monthly!$C$50</f>
        <v>G&amp;A</v>
      </c>
      <c r="E1511" s="24" t="str">
        <f aca="false">Monthly!$D$50</f>
        <v>Recruiting</v>
      </c>
      <c r="F1511" s="24" t="str">
        <f aca="false">Monthly!$A$50</f>
        <v>Recruiting — other roles</v>
      </c>
      <c r="G1511" s="20" t="n">
        <f aca="false">Monthly!AM$50</f>
        <v>0</v>
      </c>
      <c r="H1511" s="24" t="str">
        <f aca="false">ScenarioName</f>
        <v>Base</v>
      </c>
    </row>
    <row r="1512" customFormat="false" ht="15" hidden="false" customHeight="false" outlineLevel="0" collapsed="false">
      <c r="A1512" s="8" t="n">
        <v>35</v>
      </c>
      <c r="B1512" s="39" t="n">
        <f aca="false">EDATE(StartDate,A1512-1)</f>
        <v>47423</v>
      </c>
      <c r="C1512" s="24" t="str">
        <f aca="false">Monthly!$B$50</f>
        <v>EnergyWave, Inc.</v>
      </c>
      <c r="D1512" s="24" t="str">
        <f aca="false">Monthly!$C$50</f>
        <v>G&amp;A</v>
      </c>
      <c r="E1512" s="24" t="str">
        <f aca="false">Monthly!$D$50</f>
        <v>Recruiting</v>
      </c>
      <c r="F1512" s="24" t="str">
        <f aca="false">Monthly!$A$50</f>
        <v>Recruiting — other roles</v>
      </c>
      <c r="G1512" s="20" t="n">
        <f aca="false">Monthly!AN$50</f>
        <v>0</v>
      </c>
      <c r="H1512" s="24" t="str">
        <f aca="false">ScenarioName</f>
        <v>Base</v>
      </c>
    </row>
    <row r="1513" customFormat="false" ht="15" hidden="false" customHeight="false" outlineLevel="0" collapsed="false">
      <c r="A1513" s="8" t="n">
        <v>36</v>
      </c>
      <c r="B1513" s="39" t="n">
        <f aca="false">EDATE(StartDate,A1513-1)</f>
        <v>47453</v>
      </c>
      <c r="C1513" s="24" t="str">
        <f aca="false">Monthly!$B$50</f>
        <v>EnergyWave, Inc.</v>
      </c>
      <c r="D1513" s="24" t="str">
        <f aca="false">Monthly!$C$50</f>
        <v>G&amp;A</v>
      </c>
      <c r="E1513" s="24" t="str">
        <f aca="false">Monthly!$D$50</f>
        <v>Recruiting</v>
      </c>
      <c r="F1513" s="24" t="str">
        <f aca="false">Monthly!$A$50</f>
        <v>Recruiting — other roles</v>
      </c>
      <c r="G1513" s="20" t="n">
        <f aca="false">Monthly!AO$50</f>
        <v>0</v>
      </c>
      <c r="H1513" s="24" t="str">
        <f aca="false">ScenarioName</f>
        <v>Base</v>
      </c>
    </row>
    <row r="1514" customFormat="false" ht="15" hidden="false" customHeight="false" outlineLevel="0" collapsed="false">
      <c r="A1514" s="8" t="n">
        <v>1</v>
      </c>
      <c r="B1514" s="39" t="n">
        <f aca="false">EDATE(StartDate,A1514-1)</f>
        <v>46388</v>
      </c>
      <c r="C1514" s="24" t="str">
        <f aca="false">Monthly!$B$51</f>
        <v>EnergyWave, Inc.</v>
      </c>
      <c r="D1514" s="24" t="str">
        <f aca="false">Monthly!$C$51</f>
        <v>G&amp;A</v>
      </c>
      <c r="E1514" s="24" t="str">
        <f aca="false">Monthly!$D$51</f>
        <v>Travel</v>
      </c>
      <c r="F1514" s="24" t="str">
        <f aca="false">Monthly!$A$51</f>
        <v>Travel &amp; government engagement</v>
      </c>
      <c r="G1514" s="20" t="n">
        <f aca="false">Monthly!F$51</f>
        <v>8000</v>
      </c>
      <c r="H1514" s="24" t="str">
        <f aca="false">ScenarioName</f>
        <v>Base</v>
      </c>
    </row>
    <row r="1515" customFormat="false" ht="15" hidden="false" customHeight="false" outlineLevel="0" collapsed="false">
      <c r="A1515" s="8" t="n">
        <v>2</v>
      </c>
      <c r="B1515" s="39" t="n">
        <f aca="false">EDATE(StartDate,A1515-1)</f>
        <v>46419</v>
      </c>
      <c r="C1515" s="24" t="str">
        <f aca="false">Monthly!$B$51</f>
        <v>EnergyWave, Inc.</v>
      </c>
      <c r="D1515" s="24" t="str">
        <f aca="false">Monthly!$C$51</f>
        <v>G&amp;A</v>
      </c>
      <c r="E1515" s="24" t="str">
        <f aca="false">Monthly!$D$51</f>
        <v>Travel</v>
      </c>
      <c r="F1515" s="24" t="str">
        <f aca="false">Monthly!$A$51</f>
        <v>Travel &amp; government engagement</v>
      </c>
      <c r="G1515" s="20" t="n">
        <f aca="false">Monthly!G$51</f>
        <v>8000</v>
      </c>
      <c r="H1515" s="24" t="str">
        <f aca="false">ScenarioName</f>
        <v>Base</v>
      </c>
    </row>
    <row r="1516" customFormat="false" ht="15" hidden="false" customHeight="false" outlineLevel="0" collapsed="false">
      <c r="A1516" s="8" t="n">
        <v>3</v>
      </c>
      <c r="B1516" s="39" t="n">
        <f aca="false">EDATE(StartDate,A1516-1)</f>
        <v>46447</v>
      </c>
      <c r="C1516" s="24" t="str">
        <f aca="false">Monthly!$B$51</f>
        <v>EnergyWave, Inc.</v>
      </c>
      <c r="D1516" s="24" t="str">
        <f aca="false">Monthly!$C$51</f>
        <v>G&amp;A</v>
      </c>
      <c r="E1516" s="24" t="str">
        <f aca="false">Monthly!$D$51</f>
        <v>Travel</v>
      </c>
      <c r="F1516" s="24" t="str">
        <f aca="false">Monthly!$A$51</f>
        <v>Travel &amp; government engagement</v>
      </c>
      <c r="G1516" s="20" t="n">
        <f aca="false">Monthly!H$51</f>
        <v>8000</v>
      </c>
      <c r="H1516" s="24" t="str">
        <f aca="false">ScenarioName</f>
        <v>Base</v>
      </c>
    </row>
    <row r="1517" customFormat="false" ht="15" hidden="false" customHeight="false" outlineLevel="0" collapsed="false">
      <c r="A1517" s="8" t="n">
        <v>4</v>
      </c>
      <c r="B1517" s="39" t="n">
        <f aca="false">EDATE(StartDate,A1517-1)</f>
        <v>46478</v>
      </c>
      <c r="C1517" s="24" t="str">
        <f aca="false">Monthly!$B$51</f>
        <v>EnergyWave, Inc.</v>
      </c>
      <c r="D1517" s="24" t="str">
        <f aca="false">Monthly!$C$51</f>
        <v>G&amp;A</v>
      </c>
      <c r="E1517" s="24" t="str">
        <f aca="false">Monthly!$D$51</f>
        <v>Travel</v>
      </c>
      <c r="F1517" s="24" t="str">
        <f aca="false">Monthly!$A$51</f>
        <v>Travel &amp; government engagement</v>
      </c>
      <c r="G1517" s="20" t="n">
        <f aca="false">Monthly!I$51</f>
        <v>8000</v>
      </c>
      <c r="H1517" s="24" t="str">
        <f aca="false">ScenarioName</f>
        <v>Base</v>
      </c>
    </row>
    <row r="1518" customFormat="false" ht="15" hidden="false" customHeight="false" outlineLevel="0" collapsed="false">
      <c r="A1518" s="8" t="n">
        <v>5</v>
      </c>
      <c r="B1518" s="39" t="n">
        <f aca="false">EDATE(StartDate,A1518-1)</f>
        <v>46508</v>
      </c>
      <c r="C1518" s="24" t="str">
        <f aca="false">Monthly!$B$51</f>
        <v>EnergyWave, Inc.</v>
      </c>
      <c r="D1518" s="24" t="str">
        <f aca="false">Monthly!$C$51</f>
        <v>G&amp;A</v>
      </c>
      <c r="E1518" s="24" t="str">
        <f aca="false">Monthly!$D$51</f>
        <v>Travel</v>
      </c>
      <c r="F1518" s="24" t="str">
        <f aca="false">Monthly!$A$51</f>
        <v>Travel &amp; government engagement</v>
      </c>
      <c r="G1518" s="20" t="n">
        <f aca="false">Monthly!J$51</f>
        <v>8000</v>
      </c>
      <c r="H1518" s="24" t="str">
        <f aca="false">ScenarioName</f>
        <v>Base</v>
      </c>
    </row>
    <row r="1519" customFormat="false" ht="15" hidden="false" customHeight="false" outlineLevel="0" collapsed="false">
      <c r="A1519" s="8" t="n">
        <v>6</v>
      </c>
      <c r="B1519" s="39" t="n">
        <f aca="false">EDATE(StartDate,A1519-1)</f>
        <v>46539</v>
      </c>
      <c r="C1519" s="24" t="str">
        <f aca="false">Monthly!$B$51</f>
        <v>EnergyWave, Inc.</v>
      </c>
      <c r="D1519" s="24" t="str">
        <f aca="false">Monthly!$C$51</f>
        <v>G&amp;A</v>
      </c>
      <c r="E1519" s="24" t="str">
        <f aca="false">Monthly!$D$51</f>
        <v>Travel</v>
      </c>
      <c r="F1519" s="24" t="str">
        <f aca="false">Monthly!$A$51</f>
        <v>Travel &amp; government engagement</v>
      </c>
      <c r="G1519" s="20" t="n">
        <f aca="false">Monthly!K$51</f>
        <v>8000</v>
      </c>
      <c r="H1519" s="24" t="str">
        <f aca="false">ScenarioName</f>
        <v>Base</v>
      </c>
    </row>
    <row r="1520" customFormat="false" ht="15" hidden="false" customHeight="false" outlineLevel="0" collapsed="false">
      <c r="A1520" s="8" t="n">
        <v>7</v>
      </c>
      <c r="B1520" s="39" t="n">
        <f aca="false">EDATE(StartDate,A1520-1)</f>
        <v>46569</v>
      </c>
      <c r="C1520" s="24" t="str">
        <f aca="false">Monthly!$B$51</f>
        <v>EnergyWave, Inc.</v>
      </c>
      <c r="D1520" s="24" t="str">
        <f aca="false">Monthly!$C$51</f>
        <v>G&amp;A</v>
      </c>
      <c r="E1520" s="24" t="str">
        <f aca="false">Monthly!$D$51</f>
        <v>Travel</v>
      </c>
      <c r="F1520" s="24" t="str">
        <f aca="false">Monthly!$A$51</f>
        <v>Travel &amp; government engagement</v>
      </c>
      <c r="G1520" s="20" t="n">
        <f aca="false">Monthly!L$51</f>
        <v>8000</v>
      </c>
      <c r="H1520" s="24" t="str">
        <f aca="false">ScenarioName</f>
        <v>Base</v>
      </c>
    </row>
    <row r="1521" customFormat="false" ht="15" hidden="false" customHeight="false" outlineLevel="0" collapsed="false">
      <c r="A1521" s="8" t="n">
        <v>8</v>
      </c>
      <c r="B1521" s="39" t="n">
        <f aca="false">EDATE(StartDate,A1521-1)</f>
        <v>46600</v>
      </c>
      <c r="C1521" s="24" t="str">
        <f aca="false">Monthly!$B$51</f>
        <v>EnergyWave, Inc.</v>
      </c>
      <c r="D1521" s="24" t="str">
        <f aca="false">Monthly!$C$51</f>
        <v>G&amp;A</v>
      </c>
      <c r="E1521" s="24" t="str">
        <f aca="false">Monthly!$D$51</f>
        <v>Travel</v>
      </c>
      <c r="F1521" s="24" t="str">
        <f aca="false">Monthly!$A$51</f>
        <v>Travel &amp; government engagement</v>
      </c>
      <c r="G1521" s="20" t="n">
        <f aca="false">Monthly!M$51</f>
        <v>8000</v>
      </c>
      <c r="H1521" s="24" t="str">
        <f aca="false">ScenarioName</f>
        <v>Base</v>
      </c>
    </row>
    <row r="1522" customFormat="false" ht="15" hidden="false" customHeight="false" outlineLevel="0" collapsed="false">
      <c r="A1522" s="8" t="n">
        <v>9</v>
      </c>
      <c r="B1522" s="39" t="n">
        <f aca="false">EDATE(StartDate,A1522-1)</f>
        <v>46631</v>
      </c>
      <c r="C1522" s="24" t="str">
        <f aca="false">Monthly!$B$51</f>
        <v>EnergyWave, Inc.</v>
      </c>
      <c r="D1522" s="24" t="str">
        <f aca="false">Monthly!$C$51</f>
        <v>G&amp;A</v>
      </c>
      <c r="E1522" s="24" t="str">
        <f aca="false">Monthly!$D$51</f>
        <v>Travel</v>
      </c>
      <c r="F1522" s="24" t="str">
        <f aca="false">Monthly!$A$51</f>
        <v>Travel &amp; government engagement</v>
      </c>
      <c r="G1522" s="20" t="n">
        <f aca="false">Monthly!N$51</f>
        <v>8000</v>
      </c>
      <c r="H1522" s="24" t="str">
        <f aca="false">ScenarioName</f>
        <v>Base</v>
      </c>
    </row>
    <row r="1523" customFormat="false" ht="15" hidden="false" customHeight="false" outlineLevel="0" collapsed="false">
      <c r="A1523" s="8" t="n">
        <v>10</v>
      </c>
      <c r="B1523" s="39" t="n">
        <f aca="false">EDATE(StartDate,A1523-1)</f>
        <v>46661</v>
      </c>
      <c r="C1523" s="24" t="str">
        <f aca="false">Monthly!$B$51</f>
        <v>EnergyWave, Inc.</v>
      </c>
      <c r="D1523" s="24" t="str">
        <f aca="false">Monthly!$C$51</f>
        <v>G&amp;A</v>
      </c>
      <c r="E1523" s="24" t="str">
        <f aca="false">Monthly!$D$51</f>
        <v>Travel</v>
      </c>
      <c r="F1523" s="24" t="str">
        <f aca="false">Monthly!$A$51</f>
        <v>Travel &amp; government engagement</v>
      </c>
      <c r="G1523" s="20" t="n">
        <f aca="false">Monthly!O$51</f>
        <v>8000</v>
      </c>
      <c r="H1523" s="24" t="str">
        <f aca="false">ScenarioName</f>
        <v>Base</v>
      </c>
    </row>
    <row r="1524" customFormat="false" ht="15" hidden="false" customHeight="false" outlineLevel="0" collapsed="false">
      <c r="A1524" s="8" t="n">
        <v>11</v>
      </c>
      <c r="B1524" s="39" t="n">
        <f aca="false">EDATE(StartDate,A1524-1)</f>
        <v>46692</v>
      </c>
      <c r="C1524" s="24" t="str">
        <f aca="false">Monthly!$B$51</f>
        <v>EnergyWave, Inc.</v>
      </c>
      <c r="D1524" s="24" t="str">
        <f aca="false">Monthly!$C$51</f>
        <v>G&amp;A</v>
      </c>
      <c r="E1524" s="24" t="str">
        <f aca="false">Monthly!$D$51</f>
        <v>Travel</v>
      </c>
      <c r="F1524" s="24" t="str">
        <f aca="false">Monthly!$A$51</f>
        <v>Travel &amp; government engagement</v>
      </c>
      <c r="G1524" s="20" t="n">
        <f aca="false">Monthly!P$51</f>
        <v>8000</v>
      </c>
      <c r="H1524" s="24" t="str">
        <f aca="false">ScenarioName</f>
        <v>Base</v>
      </c>
    </row>
    <row r="1525" customFormat="false" ht="15" hidden="false" customHeight="false" outlineLevel="0" collapsed="false">
      <c r="A1525" s="8" t="n">
        <v>12</v>
      </c>
      <c r="B1525" s="39" t="n">
        <f aca="false">EDATE(StartDate,A1525-1)</f>
        <v>46722</v>
      </c>
      <c r="C1525" s="24" t="str">
        <f aca="false">Monthly!$B$51</f>
        <v>EnergyWave, Inc.</v>
      </c>
      <c r="D1525" s="24" t="str">
        <f aca="false">Monthly!$C$51</f>
        <v>G&amp;A</v>
      </c>
      <c r="E1525" s="24" t="str">
        <f aca="false">Monthly!$D$51</f>
        <v>Travel</v>
      </c>
      <c r="F1525" s="24" t="str">
        <f aca="false">Monthly!$A$51</f>
        <v>Travel &amp; government engagement</v>
      </c>
      <c r="G1525" s="20" t="n">
        <f aca="false">Monthly!Q$51</f>
        <v>8000</v>
      </c>
      <c r="H1525" s="24" t="str">
        <f aca="false">ScenarioName</f>
        <v>Base</v>
      </c>
    </row>
    <row r="1526" customFormat="false" ht="15" hidden="false" customHeight="false" outlineLevel="0" collapsed="false">
      <c r="A1526" s="8" t="n">
        <v>13</v>
      </c>
      <c r="B1526" s="39" t="n">
        <f aca="false">EDATE(StartDate,A1526-1)</f>
        <v>46753</v>
      </c>
      <c r="C1526" s="24" t="str">
        <f aca="false">Monthly!$B$51</f>
        <v>EnergyWave, Inc.</v>
      </c>
      <c r="D1526" s="24" t="str">
        <f aca="false">Monthly!$C$51</f>
        <v>G&amp;A</v>
      </c>
      <c r="E1526" s="24" t="str">
        <f aca="false">Monthly!$D$51</f>
        <v>Travel</v>
      </c>
      <c r="F1526" s="24" t="str">
        <f aca="false">Monthly!$A$51</f>
        <v>Travel &amp; government engagement</v>
      </c>
      <c r="G1526" s="20" t="n">
        <f aca="false">Monthly!R$51</f>
        <v>8000</v>
      </c>
      <c r="H1526" s="24" t="str">
        <f aca="false">ScenarioName</f>
        <v>Base</v>
      </c>
    </row>
    <row r="1527" customFormat="false" ht="15" hidden="false" customHeight="false" outlineLevel="0" collapsed="false">
      <c r="A1527" s="8" t="n">
        <v>14</v>
      </c>
      <c r="B1527" s="39" t="n">
        <f aca="false">EDATE(StartDate,A1527-1)</f>
        <v>46784</v>
      </c>
      <c r="C1527" s="24" t="str">
        <f aca="false">Monthly!$B$51</f>
        <v>EnergyWave, Inc.</v>
      </c>
      <c r="D1527" s="24" t="str">
        <f aca="false">Monthly!$C$51</f>
        <v>G&amp;A</v>
      </c>
      <c r="E1527" s="24" t="str">
        <f aca="false">Monthly!$D$51</f>
        <v>Travel</v>
      </c>
      <c r="F1527" s="24" t="str">
        <f aca="false">Monthly!$A$51</f>
        <v>Travel &amp; government engagement</v>
      </c>
      <c r="G1527" s="20" t="n">
        <f aca="false">Monthly!S$51</f>
        <v>8000</v>
      </c>
      <c r="H1527" s="24" t="str">
        <f aca="false">ScenarioName</f>
        <v>Base</v>
      </c>
    </row>
    <row r="1528" customFormat="false" ht="15" hidden="false" customHeight="false" outlineLevel="0" collapsed="false">
      <c r="A1528" s="8" t="n">
        <v>15</v>
      </c>
      <c r="B1528" s="39" t="n">
        <f aca="false">EDATE(StartDate,A1528-1)</f>
        <v>46813</v>
      </c>
      <c r="C1528" s="24" t="str">
        <f aca="false">Monthly!$B$51</f>
        <v>EnergyWave, Inc.</v>
      </c>
      <c r="D1528" s="24" t="str">
        <f aca="false">Monthly!$C$51</f>
        <v>G&amp;A</v>
      </c>
      <c r="E1528" s="24" t="str">
        <f aca="false">Monthly!$D$51</f>
        <v>Travel</v>
      </c>
      <c r="F1528" s="24" t="str">
        <f aca="false">Monthly!$A$51</f>
        <v>Travel &amp; government engagement</v>
      </c>
      <c r="G1528" s="20" t="n">
        <f aca="false">Monthly!T$51</f>
        <v>8000</v>
      </c>
      <c r="H1528" s="24" t="str">
        <f aca="false">ScenarioName</f>
        <v>Base</v>
      </c>
    </row>
    <row r="1529" customFormat="false" ht="15" hidden="false" customHeight="false" outlineLevel="0" collapsed="false">
      <c r="A1529" s="8" t="n">
        <v>16</v>
      </c>
      <c r="B1529" s="39" t="n">
        <f aca="false">EDATE(StartDate,A1529-1)</f>
        <v>46844</v>
      </c>
      <c r="C1529" s="24" t="str">
        <f aca="false">Monthly!$B$51</f>
        <v>EnergyWave, Inc.</v>
      </c>
      <c r="D1529" s="24" t="str">
        <f aca="false">Monthly!$C$51</f>
        <v>G&amp;A</v>
      </c>
      <c r="E1529" s="24" t="str">
        <f aca="false">Monthly!$D$51</f>
        <v>Travel</v>
      </c>
      <c r="F1529" s="24" t="str">
        <f aca="false">Monthly!$A$51</f>
        <v>Travel &amp; government engagement</v>
      </c>
      <c r="G1529" s="20" t="n">
        <f aca="false">Monthly!U$51</f>
        <v>8000</v>
      </c>
      <c r="H1529" s="24" t="str">
        <f aca="false">ScenarioName</f>
        <v>Base</v>
      </c>
    </row>
    <row r="1530" customFormat="false" ht="15" hidden="false" customHeight="false" outlineLevel="0" collapsed="false">
      <c r="A1530" s="8" t="n">
        <v>17</v>
      </c>
      <c r="B1530" s="39" t="n">
        <f aca="false">EDATE(StartDate,A1530-1)</f>
        <v>46874</v>
      </c>
      <c r="C1530" s="24" t="str">
        <f aca="false">Monthly!$B$51</f>
        <v>EnergyWave, Inc.</v>
      </c>
      <c r="D1530" s="24" t="str">
        <f aca="false">Monthly!$C$51</f>
        <v>G&amp;A</v>
      </c>
      <c r="E1530" s="24" t="str">
        <f aca="false">Monthly!$D$51</f>
        <v>Travel</v>
      </c>
      <c r="F1530" s="24" t="str">
        <f aca="false">Monthly!$A$51</f>
        <v>Travel &amp; government engagement</v>
      </c>
      <c r="G1530" s="20" t="n">
        <f aca="false">Monthly!V$51</f>
        <v>8000</v>
      </c>
      <c r="H1530" s="24" t="str">
        <f aca="false">ScenarioName</f>
        <v>Base</v>
      </c>
    </row>
    <row r="1531" customFormat="false" ht="15" hidden="false" customHeight="false" outlineLevel="0" collapsed="false">
      <c r="A1531" s="8" t="n">
        <v>18</v>
      </c>
      <c r="B1531" s="39" t="n">
        <f aca="false">EDATE(StartDate,A1531-1)</f>
        <v>46905</v>
      </c>
      <c r="C1531" s="24" t="str">
        <f aca="false">Monthly!$B$51</f>
        <v>EnergyWave, Inc.</v>
      </c>
      <c r="D1531" s="24" t="str">
        <f aca="false">Monthly!$C$51</f>
        <v>G&amp;A</v>
      </c>
      <c r="E1531" s="24" t="str">
        <f aca="false">Monthly!$D$51</f>
        <v>Travel</v>
      </c>
      <c r="F1531" s="24" t="str">
        <f aca="false">Monthly!$A$51</f>
        <v>Travel &amp; government engagement</v>
      </c>
      <c r="G1531" s="20" t="n">
        <f aca="false">Monthly!W$51</f>
        <v>8000</v>
      </c>
      <c r="H1531" s="24" t="str">
        <f aca="false">ScenarioName</f>
        <v>Base</v>
      </c>
    </row>
    <row r="1532" customFormat="false" ht="15" hidden="false" customHeight="false" outlineLevel="0" collapsed="false">
      <c r="A1532" s="8" t="n">
        <v>19</v>
      </c>
      <c r="B1532" s="39" t="n">
        <f aca="false">EDATE(StartDate,A1532-1)</f>
        <v>46935</v>
      </c>
      <c r="C1532" s="24" t="str">
        <f aca="false">Monthly!$B$51</f>
        <v>EnergyWave, Inc.</v>
      </c>
      <c r="D1532" s="24" t="str">
        <f aca="false">Monthly!$C$51</f>
        <v>G&amp;A</v>
      </c>
      <c r="E1532" s="24" t="str">
        <f aca="false">Monthly!$D$51</f>
        <v>Travel</v>
      </c>
      <c r="F1532" s="24" t="str">
        <f aca="false">Monthly!$A$51</f>
        <v>Travel &amp; government engagement</v>
      </c>
      <c r="G1532" s="20" t="n">
        <f aca="false">Monthly!X$51</f>
        <v>8000</v>
      </c>
      <c r="H1532" s="24" t="str">
        <f aca="false">ScenarioName</f>
        <v>Base</v>
      </c>
    </row>
    <row r="1533" customFormat="false" ht="15" hidden="false" customHeight="false" outlineLevel="0" collapsed="false">
      <c r="A1533" s="8" t="n">
        <v>20</v>
      </c>
      <c r="B1533" s="39" t="n">
        <f aca="false">EDATE(StartDate,A1533-1)</f>
        <v>46966</v>
      </c>
      <c r="C1533" s="24" t="str">
        <f aca="false">Monthly!$B$51</f>
        <v>EnergyWave, Inc.</v>
      </c>
      <c r="D1533" s="24" t="str">
        <f aca="false">Monthly!$C$51</f>
        <v>G&amp;A</v>
      </c>
      <c r="E1533" s="24" t="str">
        <f aca="false">Monthly!$D$51</f>
        <v>Travel</v>
      </c>
      <c r="F1533" s="24" t="str">
        <f aca="false">Monthly!$A$51</f>
        <v>Travel &amp; government engagement</v>
      </c>
      <c r="G1533" s="20" t="n">
        <f aca="false">Monthly!Y$51</f>
        <v>8000</v>
      </c>
      <c r="H1533" s="24" t="str">
        <f aca="false">ScenarioName</f>
        <v>Base</v>
      </c>
    </row>
    <row r="1534" customFormat="false" ht="15" hidden="false" customHeight="false" outlineLevel="0" collapsed="false">
      <c r="A1534" s="8" t="n">
        <v>21</v>
      </c>
      <c r="B1534" s="39" t="n">
        <f aca="false">EDATE(StartDate,A1534-1)</f>
        <v>46997</v>
      </c>
      <c r="C1534" s="24" t="str">
        <f aca="false">Monthly!$B$51</f>
        <v>EnergyWave, Inc.</v>
      </c>
      <c r="D1534" s="24" t="str">
        <f aca="false">Monthly!$C$51</f>
        <v>G&amp;A</v>
      </c>
      <c r="E1534" s="24" t="str">
        <f aca="false">Monthly!$D$51</f>
        <v>Travel</v>
      </c>
      <c r="F1534" s="24" t="str">
        <f aca="false">Monthly!$A$51</f>
        <v>Travel &amp; government engagement</v>
      </c>
      <c r="G1534" s="20" t="n">
        <f aca="false">Monthly!Z$51</f>
        <v>8000</v>
      </c>
      <c r="H1534" s="24" t="str">
        <f aca="false">ScenarioName</f>
        <v>Base</v>
      </c>
    </row>
    <row r="1535" customFormat="false" ht="15" hidden="false" customHeight="false" outlineLevel="0" collapsed="false">
      <c r="A1535" s="8" t="n">
        <v>22</v>
      </c>
      <c r="B1535" s="39" t="n">
        <f aca="false">EDATE(StartDate,A1535-1)</f>
        <v>47027</v>
      </c>
      <c r="C1535" s="24" t="str">
        <f aca="false">Monthly!$B$51</f>
        <v>EnergyWave, Inc.</v>
      </c>
      <c r="D1535" s="24" t="str">
        <f aca="false">Monthly!$C$51</f>
        <v>G&amp;A</v>
      </c>
      <c r="E1535" s="24" t="str">
        <f aca="false">Monthly!$D$51</f>
        <v>Travel</v>
      </c>
      <c r="F1535" s="24" t="str">
        <f aca="false">Monthly!$A$51</f>
        <v>Travel &amp; government engagement</v>
      </c>
      <c r="G1535" s="20" t="n">
        <f aca="false">Monthly!AA$51</f>
        <v>8000</v>
      </c>
      <c r="H1535" s="24" t="str">
        <f aca="false">ScenarioName</f>
        <v>Base</v>
      </c>
    </row>
    <row r="1536" customFormat="false" ht="15" hidden="false" customHeight="false" outlineLevel="0" collapsed="false">
      <c r="A1536" s="8" t="n">
        <v>23</v>
      </c>
      <c r="B1536" s="39" t="n">
        <f aca="false">EDATE(StartDate,A1536-1)</f>
        <v>47058</v>
      </c>
      <c r="C1536" s="24" t="str">
        <f aca="false">Monthly!$B$51</f>
        <v>EnergyWave, Inc.</v>
      </c>
      <c r="D1536" s="24" t="str">
        <f aca="false">Monthly!$C$51</f>
        <v>G&amp;A</v>
      </c>
      <c r="E1536" s="24" t="str">
        <f aca="false">Monthly!$D$51</f>
        <v>Travel</v>
      </c>
      <c r="F1536" s="24" t="str">
        <f aca="false">Monthly!$A$51</f>
        <v>Travel &amp; government engagement</v>
      </c>
      <c r="G1536" s="20" t="n">
        <f aca="false">Monthly!AB$51</f>
        <v>8000</v>
      </c>
      <c r="H1536" s="24" t="str">
        <f aca="false">ScenarioName</f>
        <v>Base</v>
      </c>
    </row>
    <row r="1537" customFormat="false" ht="15" hidden="false" customHeight="false" outlineLevel="0" collapsed="false">
      <c r="A1537" s="8" t="n">
        <v>24</v>
      </c>
      <c r="B1537" s="39" t="n">
        <f aca="false">EDATE(StartDate,A1537-1)</f>
        <v>47088</v>
      </c>
      <c r="C1537" s="24" t="str">
        <f aca="false">Monthly!$B$51</f>
        <v>EnergyWave, Inc.</v>
      </c>
      <c r="D1537" s="24" t="str">
        <f aca="false">Monthly!$C$51</f>
        <v>G&amp;A</v>
      </c>
      <c r="E1537" s="24" t="str">
        <f aca="false">Monthly!$D$51</f>
        <v>Travel</v>
      </c>
      <c r="F1537" s="24" t="str">
        <f aca="false">Monthly!$A$51</f>
        <v>Travel &amp; government engagement</v>
      </c>
      <c r="G1537" s="20" t="n">
        <f aca="false">Monthly!AC$51</f>
        <v>8000</v>
      </c>
      <c r="H1537" s="24" t="str">
        <f aca="false">ScenarioName</f>
        <v>Base</v>
      </c>
    </row>
    <row r="1538" customFormat="false" ht="15" hidden="false" customHeight="false" outlineLevel="0" collapsed="false">
      <c r="A1538" s="8" t="n">
        <v>25</v>
      </c>
      <c r="B1538" s="39" t="n">
        <f aca="false">EDATE(StartDate,A1538-1)</f>
        <v>47119</v>
      </c>
      <c r="C1538" s="24" t="str">
        <f aca="false">Monthly!$B$51</f>
        <v>EnergyWave, Inc.</v>
      </c>
      <c r="D1538" s="24" t="str">
        <f aca="false">Monthly!$C$51</f>
        <v>G&amp;A</v>
      </c>
      <c r="E1538" s="24" t="str">
        <f aca="false">Monthly!$D$51</f>
        <v>Travel</v>
      </c>
      <c r="F1538" s="24" t="str">
        <f aca="false">Monthly!$A$51</f>
        <v>Travel &amp; government engagement</v>
      </c>
      <c r="G1538" s="20" t="n">
        <f aca="false">Monthly!AD$51</f>
        <v>8000</v>
      </c>
      <c r="H1538" s="24" t="str">
        <f aca="false">ScenarioName</f>
        <v>Base</v>
      </c>
    </row>
    <row r="1539" customFormat="false" ht="15" hidden="false" customHeight="false" outlineLevel="0" collapsed="false">
      <c r="A1539" s="8" t="n">
        <v>26</v>
      </c>
      <c r="B1539" s="39" t="n">
        <f aca="false">EDATE(StartDate,A1539-1)</f>
        <v>47150</v>
      </c>
      <c r="C1539" s="24" t="str">
        <f aca="false">Monthly!$B$51</f>
        <v>EnergyWave, Inc.</v>
      </c>
      <c r="D1539" s="24" t="str">
        <f aca="false">Monthly!$C$51</f>
        <v>G&amp;A</v>
      </c>
      <c r="E1539" s="24" t="str">
        <f aca="false">Monthly!$D$51</f>
        <v>Travel</v>
      </c>
      <c r="F1539" s="24" t="str">
        <f aca="false">Monthly!$A$51</f>
        <v>Travel &amp; government engagement</v>
      </c>
      <c r="G1539" s="20" t="n">
        <f aca="false">Monthly!AE$51</f>
        <v>8000</v>
      </c>
      <c r="H1539" s="24" t="str">
        <f aca="false">ScenarioName</f>
        <v>Base</v>
      </c>
    </row>
    <row r="1540" customFormat="false" ht="15" hidden="false" customHeight="false" outlineLevel="0" collapsed="false">
      <c r="A1540" s="8" t="n">
        <v>27</v>
      </c>
      <c r="B1540" s="39" t="n">
        <f aca="false">EDATE(StartDate,A1540-1)</f>
        <v>47178</v>
      </c>
      <c r="C1540" s="24" t="str">
        <f aca="false">Monthly!$B$51</f>
        <v>EnergyWave, Inc.</v>
      </c>
      <c r="D1540" s="24" t="str">
        <f aca="false">Monthly!$C$51</f>
        <v>G&amp;A</v>
      </c>
      <c r="E1540" s="24" t="str">
        <f aca="false">Monthly!$D$51</f>
        <v>Travel</v>
      </c>
      <c r="F1540" s="24" t="str">
        <f aca="false">Monthly!$A$51</f>
        <v>Travel &amp; government engagement</v>
      </c>
      <c r="G1540" s="20" t="n">
        <f aca="false">Monthly!AF$51</f>
        <v>8000</v>
      </c>
      <c r="H1540" s="24" t="str">
        <f aca="false">ScenarioName</f>
        <v>Base</v>
      </c>
    </row>
    <row r="1541" customFormat="false" ht="15" hidden="false" customHeight="false" outlineLevel="0" collapsed="false">
      <c r="A1541" s="8" t="n">
        <v>28</v>
      </c>
      <c r="B1541" s="39" t="n">
        <f aca="false">EDATE(StartDate,A1541-1)</f>
        <v>47209</v>
      </c>
      <c r="C1541" s="24" t="str">
        <f aca="false">Monthly!$B$51</f>
        <v>EnergyWave, Inc.</v>
      </c>
      <c r="D1541" s="24" t="str">
        <f aca="false">Monthly!$C$51</f>
        <v>G&amp;A</v>
      </c>
      <c r="E1541" s="24" t="str">
        <f aca="false">Monthly!$D$51</f>
        <v>Travel</v>
      </c>
      <c r="F1541" s="24" t="str">
        <f aca="false">Monthly!$A$51</f>
        <v>Travel &amp; government engagement</v>
      </c>
      <c r="G1541" s="20" t="n">
        <f aca="false">Monthly!AG$51</f>
        <v>8000</v>
      </c>
      <c r="H1541" s="24" t="str">
        <f aca="false">ScenarioName</f>
        <v>Base</v>
      </c>
    </row>
    <row r="1542" customFormat="false" ht="15" hidden="false" customHeight="false" outlineLevel="0" collapsed="false">
      <c r="A1542" s="8" t="n">
        <v>29</v>
      </c>
      <c r="B1542" s="39" t="n">
        <f aca="false">EDATE(StartDate,A1542-1)</f>
        <v>47239</v>
      </c>
      <c r="C1542" s="24" t="str">
        <f aca="false">Monthly!$B$51</f>
        <v>EnergyWave, Inc.</v>
      </c>
      <c r="D1542" s="24" t="str">
        <f aca="false">Monthly!$C$51</f>
        <v>G&amp;A</v>
      </c>
      <c r="E1542" s="24" t="str">
        <f aca="false">Monthly!$D$51</f>
        <v>Travel</v>
      </c>
      <c r="F1542" s="24" t="str">
        <f aca="false">Monthly!$A$51</f>
        <v>Travel &amp; government engagement</v>
      </c>
      <c r="G1542" s="20" t="n">
        <f aca="false">Monthly!AH$51</f>
        <v>8000</v>
      </c>
      <c r="H1542" s="24" t="str">
        <f aca="false">ScenarioName</f>
        <v>Base</v>
      </c>
    </row>
    <row r="1543" customFormat="false" ht="15" hidden="false" customHeight="false" outlineLevel="0" collapsed="false">
      <c r="A1543" s="8" t="n">
        <v>30</v>
      </c>
      <c r="B1543" s="39" t="n">
        <f aca="false">EDATE(StartDate,A1543-1)</f>
        <v>47270</v>
      </c>
      <c r="C1543" s="24" t="str">
        <f aca="false">Monthly!$B$51</f>
        <v>EnergyWave, Inc.</v>
      </c>
      <c r="D1543" s="24" t="str">
        <f aca="false">Monthly!$C$51</f>
        <v>G&amp;A</v>
      </c>
      <c r="E1543" s="24" t="str">
        <f aca="false">Monthly!$D$51</f>
        <v>Travel</v>
      </c>
      <c r="F1543" s="24" t="str">
        <f aca="false">Monthly!$A$51</f>
        <v>Travel &amp; government engagement</v>
      </c>
      <c r="G1543" s="20" t="n">
        <f aca="false">Monthly!AI$51</f>
        <v>8000</v>
      </c>
      <c r="H1543" s="24" t="str">
        <f aca="false">ScenarioName</f>
        <v>Base</v>
      </c>
    </row>
    <row r="1544" customFormat="false" ht="15" hidden="false" customHeight="false" outlineLevel="0" collapsed="false">
      <c r="A1544" s="8" t="n">
        <v>31</v>
      </c>
      <c r="B1544" s="39" t="n">
        <f aca="false">EDATE(StartDate,A1544-1)</f>
        <v>47300</v>
      </c>
      <c r="C1544" s="24" t="str">
        <f aca="false">Monthly!$B$51</f>
        <v>EnergyWave, Inc.</v>
      </c>
      <c r="D1544" s="24" t="str">
        <f aca="false">Monthly!$C$51</f>
        <v>G&amp;A</v>
      </c>
      <c r="E1544" s="24" t="str">
        <f aca="false">Monthly!$D$51</f>
        <v>Travel</v>
      </c>
      <c r="F1544" s="24" t="str">
        <f aca="false">Monthly!$A$51</f>
        <v>Travel &amp; government engagement</v>
      </c>
      <c r="G1544" s="20" t="n">
        <f aca="false">Monthly!AJ$51</f>
        <v>8000</v>
      </c>
      <c r="H1544" s="24" t="str">
        <f aca="false">ScenarioName</f>
        <v>Base</v>
      </c>
    </row>
    <row r="1545" customFormat="false" ht="15" hidden="false" customHeight="false" outlineLevel="0" collapsed="false">
      <c r="A1545" s="8" t="n">
        <v>32</v>
      </c>
      <c r="B1545" s="39" t="n">
        <f aca="false">EDATE(StartDate,A1545-1)</f>
        <v>47331</v>
      </c>
      <c r="C1545" s="24" t="str">
        <f aca="false">Monthly!$B$51</f>
        <v>EnergyWave, Inc.</v>
      </c>
      <c r="D1545" s="24" t="str">
        <f aca="false">Monthly!$C$51</f>
        <v>G&amp;A</v>
      </c>
      <c r="E1545" s="24" t="str">
        <f aca="false">Monthly!$D$51</f>
        <v>Travel</v>
      </c>
      <c r="F1545" s="24" t="str">
        <f aca="false">Monthly!$A$51</f>
        <v>Travel &amp; government engagement</v>
      </c>
      <c r="G1545" s="20" t="n">
        <f aca="false">Monthly!AK$51</f>
        <v>8000</v>
      </c>
      <c r="H1545" s="24" t="str">
        <f aca="false">ScenarioName</f>
        <v>Base</v>
      </c>
    </row>
    <row r="1546" customFormat="false" ht="15" hidden="false" customHeight="false" outlineLevel="0" collapsed="false">
      <c r="A1546" s="8" t="n">
        <v>33</v>
      </c>
      <c r="B1546" s="39" t="n">
        <f aca="false">EDATE(StartDate,A1546-1)</f>
        <v>47362</v>
      </c>
      <c r="C1546" s="24" t="str">
        <f aca="false">Monthly!$B$51</f>
        <v>EnergyWave, Inc.</v>
      </c>
      <c r="D1546" s="24" t="str">
        <f aca="false">Monthly!$C$51</f>
        <v>G&amp;A</v>
      </c>
      <c r="E1546" s="24" t="str">
        <f aca="false">Monthly!$D$51</f>
        <v>Travel</v>
      </c>
      <c r="F1546" s="24" t="str">
        <f aca="false">Monthly!$A$51</f>
        <v>Travel &amp; government engagement</v>
      </c>
      <c r="G1546" s="20" t="n">
        <f aca="false">Monthly!AL$51</f>
        <v>8000</v>
      </c>
      <c r="H1546" s="24" t="str">
        <f aca="false">ScenarioName</f>
        <v>Base</v>
      </c>
    </row>
    <row r="1547" customFormat="false" ht="15" hidden="false" customHeight="false" outlineLevel="0" collapsed="false">
      <c r="A1547" s="8" t="n">
        <v>34</v>
      </c>
      <c r="B1547" s="39" t="n">
        <f aca="false">EDATE(StartDate,A1547-1)</f>
        <v>47392</v>
      </c>
      <c r="C1547" s="24" t="str">
        <f aca="false">Monthly!$B$51</f>
        <v>EnergyWave, Inc.</v>
      </c>
      <c r="D1547" s="24" t="str">
        <f aca="false">Monthly!$C$51</f>
        <v>G&amp;A</v>
      </c>
      <c r="E1547" s="24" t="str">
        <f aca="false">Monthly!$D$51</f>
        <v>Travel</v>
      </c>
      <c r="F1547" s="24" t="str">
        <f aca="false">Monthly!$A$51</f>
        <v>Travel &amp; government engagement</v>
      </c>
      <c r="G1547" s="20" t="n">
        <f aca="false">Monthly!AM$51</f>
        <v>8000</v>
      </c>
      <c r="H1547" s="24" t="str">
        <f aca="false">ScenarioName</f>
        <v>Base</v>
      </c>
    </row>
    <row r="1548" customFormat="false" ht="15" hidden="false" customHeight="false" outlineLevel="0" collapsed="false">
      <c r="A1548" s="8" t="n">
        <v>35</v>
      </c>
      <c r="B1548" s="39" t="n">
        <f aca="false">EDATE(StartDate,A1548-1)</f>
        <v>47423</v>
      </c>
      <c r="C1548" s="24" t="str">
        <f aca="false">Monthly!$B$51</f>
        <v>EnergyWave, Inc.</v>
      </c>
      <c r="D1548" s="24" t="str">
        <f aca="false">Monthly!$C$51</f>
        <v>G&amp;A</v>
      </c>
      <c r="E1548" s="24" t="str">
        <f aca="false">Monthly!$D$51</f>
        <v>Travel</v>
      </c>
      <c r="F1548" s="24" t="str">
        <f aca="false">Monthly!$A$51</f>
        <v>Travel &amp; government engagement</v>
      </c>
      <c r="G1548" s="20" t="n">
        <f aca="false">Monthly!AN$51</f>
        <v>8000</v>
      </c>
      <c r="H1548" s="24" t="str">
        <f aca="false">ScenarioName</f>
        <v>Base</v>
      </c>
    </row>
    <row r="1549" customFormat="false" ht="15" hidden="false" customHeight="false" outlineLevel="0" collapsed="false">
      <c r="A1549" s="8" t="n">
        <v>36</v>
      </c>
      <c r="B1549" s="39" t="n">
        <f aca="false">EDATE(StartDate,A1549-1)</f>
        <v>47453</v>
      </c>
      <c r="C1549" s="24" t="str">
        <f aca="false">Monthly!$B$51</f>
        <v>EnergyWave, Inc.</v>
      </c>
      <c r="D1549" s="24" t="str">
        <f aca="false">Monthly!$C$51</f>
        <v>G&amp;A</v>
      </c>
      <c r="E1549" s="24" t="str">
        <f aca="false">Monthly!$D$51</f>
        <v>Travel</v>
      </c>
      <c r="F1549" s="24" t="str">
        <f aca="false">Monthly!$A$51</f>
        <v>Travel &amp; government engagement</v>
      </c>
      <c r="G1549" s="20" t="n">
        <f aca="false">Monthly!AO$51</f>
        <v>8000</v>
      </c>
      <c r="H1549" s="24" t="str">
        <f aca="false">ScenarioName</f>
        <v>Base</v>
      </c>
    </row>
    <row r="1550" customFormat="false" ht="15" hidden="false" customHeight="false" outlineLevel="0" collapsed="false">
      <c r="A1550" s="8" t="n">
        <v>1</v>
      </c>
      <c r="B1550" s="39" t="n">
        <f aca="false">EDATE(StartDate,A1550-1)</f>
        <v>46388</v>
      </c>
      <c r="C1550" s="24" t="str">
        <f aca="false">Monthly!$B$52</f>
        <v>EnergyWave, Inc.</v>
      </c>
      <c r="D1550" s="24" t="str">
        <f aca="false">Monthly!$C$52</f>
        <v>Research</v>
      </c>
      <c r="E1550" s="24" t="str">
        <f aca="false">Monthly!$D$52</f>
        <v>Dissemination</v>
      </c>
      <c r="F1550" s="24" t="str">
        <f aca="false">Monthly!$A$52</f>
        <v>Publications, null-results registry, conferences</v>
      </c>
      <c r="G1550" s="20" t="n">
        <f aca="false">Monthly!F$52</f>
        <v>0</v>
      </c>
      <c r="H1550" s="24" t="str">
        <f aca="false">ScenarioName</f>
        <v>Base</v>
      </c>
    </row>
    <row r="1551" customFormat="false" ht="15" hidden="false" customHeight="false" outlineLevel="0" collapsed="false">
      <c r="A1551" s="8" t="n">
        <v>2</v>
      </c>
      <c r="B1551" s="39" t="n">
        <f aca="false">EDATE(StartDate,A1551-1)</f>
        <v>46419</v>
      </c>
      <c r="C1551" s="24" t="str">
        <f aca="false">Monthly!$B$52</f>
        <v>EnergyWave, Inc.</v>
      </c>
      <c r="D1551" s="24" t="str">
        <f aca="false">Monthly!$C$52</f>
        <v>Research</v>
      </c>
      <c r="E1551" s="24" t="str">
        <f aca="false">Monthly!$D$52</f>
        <v>Dissemination</v>
      </c>
      <c r="F1551" s="24" t="str">
        <f aca="false">Monthly!$A$52</f>
        <v>Publications, null-results registry, conferences</v>
      </c>
      <c r="G1551" s="20" t="n">
        <f aca="false">Monthly!G$52</f>
        <v>3000</v>
      </c>
      <c r="H1551" s="24" t="str">
        <f aca="false">ScenarioName</f>
        <v>Base</v>
      </c>
    </row>
    <row r="1552" customFormat="false" ht="15" hidden="false" customHeight="false" outlineLevel="0" collapsed="false">
      <c r="A1552" s="8" t="n">
        <v>3</v>
      </c>
      <c r="B1552" s="39" t="n">
        <f aca="false">EDATE(StartDate,A1552-1)</f>
        <v>46447</v>
      </c>
      <c r="C1552" s="24" t="str">
        <f aca="false">Monthly!$B$52</f>
        <v>EnergyWave, Inc.</v>
      </c>
      <c r="D1552" s="24" t="str">
        <f aca="false">Monthly!$C$52</f>
        <v>Research</v>
      </c>
      <c r="E1552" s="24" t="str">
        <f aca="false">Monthly!$D$52</f>
        <v>Dissemination</v>
      </c>
      <c r="F1552" s="24" t="str">
        <f aca="false">Monthly!$A$52</f>
        <v>Publications, null-results registry, conferences</v>
      </c>
      <c r="G1552" s="20" t="n">
        <f aca="false">Monthly!H$52</f>
        <v>3000</v>
      </c>
      <c r="H1552" s="24" t="str">
        <f aca="false">ScenarioName</f>
        <v>Base</v>
      </c>
    </row>
    <row r="1553" customFormat="false" ht="15" hidden="false" customHeight="false" outlineLevel="0" collapsed="false">
      <c r="A1553" s="8" t="n">
        <v>4</v>
      </c>
      <c r="B1553" s="39" t="n">
        <f aca="false">EDATE(StartDate,A1553-1)</f>
        <v>46478</v>
      </c>
      <c r="C1553" s="24" t="str">
        <f aca="false">Monthly!$B$52</f>
        <v>EnergyWave, Inc.</v>
      </c>
      <c r="D1553" s="24" t="str">
        <f aca="false">Monthly!$C$52</f>
        <v>Research</v>
      </c>
      <c r="E1553" s="24" t="str">
        <f aca="false">Monthly!$D$52</f>
        <v>Dissemination</v>
      </c>
      <c r="F1553" s="24" t="str">
        <f aca="false">Monthly!$A$52</f>
        <v>Publications, null-results registry, conferences</v>
      </c>
      <c r="G1553" s="20" t="n">
        <f aca="false">Monthly!I$52</f>
        <v>3000</v>
      </c>
      <c r="H1553" s="24" t="str">
        <f aca="false">ScenarioName</f>
        <v>Base</v>
      </c>
    </row>
    <row r="1554" customFormat="false" ht="15" hidden="false" customHeight="false" outlineLevel="0" collapsed="false">
      <c r="A1554" s="8" t="n">
        <v>5</v>
      </c>
      <c r="B1554" s="39" t="n">
        <f aca="false">EDATE(StartDate,A1554-1)</f>
        <v>46508</v>
      </c>
      <c r="C1554" s="24" t="str">
        <f aca="false">Monthly!$B$52</f>
        <v>EnergyWave, Inc.</v>
      </c>
      <c r="D1554" s="24" t="str">
        <f aca="false">Monthly!$C$52</f>
        <v>Research</v>
      </c>
      <c r="E1554" s="24" t="str">
        <f aca="false">Monthly!$D$52</f>
        <v>Dissemination</v>
      </c>
      <c r="F1554" s="24" t="str">
        <f aca="false">Monthly!$A$52</f>
        <v>Publications, null-results registry, conferences</v>
      </c>
      <c r="G1554" s="20" t="n">
        <f aca="false">Monthly!J$52</f>
        <v>3000</v>
      </c>
      <c r="H1554" s="24" t="str">
        <f aca="false">ScenarioName</f>
        <v>Base</v>
      </c>
    </row>
    <row r="1555" customFormat="false" ht="15" hidden="false" customHeight="false" outlineLevel="0" collapsed="false">
      <c r="A1555" s="8" t="n">
        <v>6</v>
      </c>
      <c r="B1555" s="39" t="n">
        <f aca="false">EDATE(StartDate,A1555-1)</f>
        <v>46539</v>
      </c>
      <c r="C1555" s="24" t="str">
        <f aca="false">Monthly!$B$52</f>
        <v>EnergyWave, Inc.</v>
      </c>
      <c r="D1555" s="24" t="str">
        <f aca="false">Monthly!$C$52</f>
        <v>Research</v>
      </c>
      <c r="E1555" s="24" t="str">
        <f aca="false">Monthly!$D$52</f>
        <v>Dissemination</v>
      </c>
      <c r="F1555" s="24" t="str">
        <f aca="false">Monthly!$A$52</f>
        <v>Publications, null-results registry, conferences</v>
      </c>
      <c r="G1555" s="20" t="n">
        <f aca="false">Monthly!K$52</f>
        <v>3000</v>
      </c>
      <c r="H1555" s="24" t="str">
        <f aca="false">ScenarioName</f>
        <v>Base</v>
      </c>
    </row>
    <row r="1556" customFormat="false" ht="15" hidden="false" customHeight="false" outlineLevel="0" collapsed="false">
      <c r="A1556" s="8" t="n">
        <v>7</v>
      </c>
      <c r="B1556" s="39" t="n">
        <f aca="false">EDATE(StartDate,A1556-1)</f>
        <v>46569</v>
      </c>
      <c r="C1556" s="24" t="str">
        <f aca="false">Monthly!$B$52</f>
        <v>EnergyWave, Inc.</v>
      </c>
      <c r="D1556" s="24" t="str">
        <f aca="false">Monthly!$C$52</f>
        <v>Research</v>
      </c>
      <c r="E1556" s="24" t="str">
        <f aca="false">Monthly!$D$52</f>
        <v>Dissemination</v>
      </c>
      <c r="F1556" s="24" t="str">
        <f aca="false">Monthly!$A$52</f>
        <v>Publications, null-results registry, conferences</v>
      </c>
      <c r="G1556" s="20" t="n">
        <f aca="false">Monthly!L$52</f>
        <v>3000</v>
      </c>
      <c r="H1556" s="24" t="str">
        <f aca="false">ScenarioName</f>
        <v>Base</v>
      </c>
    </row>
    <row r="1557" customFormat="false" ht="15" hidden="false" customHeight="false" outlineLevel="0" collapsed="false">
      <c r="A1557" s="8" t="n">
        <v>8</v>
      </c>
      <c r="B1557" s="39" t="n">
        <f aca="false">EDATE(StartDate,A1557-1)</f>
        <v>46600</v>
      </c>
      <c r="C1557" s="24" t="str">
        <f aca="false">Monthly!$B$52</f>
        <v>EnergyWave, Inc.</v>
      </c>
      <c r="D1557" s="24" t="str">
        <f aca="false">Monthly!$C$52</f>
        <v>Research</v>
      </c>
      <c r="E1557" s="24" t="str">
        <f aca="false">Monthly!$D$52</f>
        <v>Dissemination</v>
      </c>
      <c r="F1557" s="24" t="str">
        <f aca="false">Monthly!$A$52</f>
        <v>Publications, null-results registry, conferences</v>
      </c>
      <c r="G1557" s="20" t="n">
        <f aca="false">Monthly!M$52</f>
        <v>3000</v>
      </c>
      <c r="H1557" s="24" t="str">
        <f aca="false">ScenarioName</f>
        <v>Base</v>
      </c>
    </row>
    <row r="1558" customFormat="false" ht="15" hidden="false" customHeight="false" outlineLevel="0" collapsed="false">
      <c r="A1558" s="8" t="n">
        <v>9</v>
      </c>
      <c r="B1558" s="39" t="n">
        <f aca="false">EDATE(StartDate,A1558-1)</f>
        <v>46631</v>
      </c>
      <c r="C1558" s="24" t="str">
        <f aca="false">Monthly!$B$52</f>
        <v>EnergyWave, Inc.</v>
      </c>
      <c r="D1558" s="24" t="str">
        <f aca="false">Monthly!$C$52</f>
        <v>Research</v>
      </c>
      <c r="E1558" s="24" t="str">
        <f aca="false">Monthly!$D$52</f>
        <v>Dissemination</v>
      </c>
      <c r="F1558" s="24" t="str">
        <f aca="false">Monthly!$A$52</f>
        <v>Publications, null-results registry, conferences</v>
      </c>
      <c r="G1558" s="20" t="n">
        <f aca="false">Monthly!N$52</f>
        <v>3000</v>
      </c>
      <c r="H1558" s="24" t="str">
        <f aca="false">ScenarioName</f>
        <v>Base</v>
      </c>
    </row>
    <row r="1559" customFormat="false" ht="15" hidden="false" customHeight="false" outlineLevel="0" collapsed="false">
      <c r="A1559" s="8" t="n">
        <v>10</v>
      </c>
      <c r="B1559" s="39" t="n">
        <f aca="false">EDATE(StartDate,A1559-1)</f>
        <v>46661</v>
      </c>
      <c r="C1559" s="24" t="str">
        <f aca="false">Monthly!$B$52</f>
        <v>EnergyWave, Inc.</v>
      </c>
      <c r="D1559" s="24" t="str">
        <f aca="false">Monthly!$C$52</f>
        <v>Research</v>
      </c>
      <c r="E1559" s="24" t="str">
        <f aca="false">Monthly!$D$52</f>
        <v>Dissemination</v>
      </c>
      <c r="F1559" s="24" t="str">
        <f aca="false">Monthly!$A$52</f>
        <v>Publications, null-results registry, conferences</v>
      </c>
      <c r="G1559" s="20" t="n">
        <f aca="false">Monthly!O$52</f>
        <v>3000</v>
      </c>
      <c r="H1559" s="24" t="str">
        <f aca="false">ScenarioName</f>
        <v>Base</v>
      </c>
    </row>
    <row r="1560" customFormat="false" ht="15" hidden="false" customHeight="false" outlineLevel="0" collapsed="false">
      <c r="A1560" s="8" t="n">
        <v>11</v>
      </c>
      <c r="B1560" s="39" t="n">
        <f aca="false">EDATE(StartDate,A1560-1)</f>
        <v>46692</v>
      </c>
      <c r="C1560" s="24" t="str">
        <f aca="false">Monthly!$B$52</f>
        <v>EnergyWave, Inc.</v>
      </c>
      <c r="D1560" s="24" t="str">
        <f aca="false">Monthly!$C$52</f>
        <v>Research</v>
      </c>
      <c r="E1560" s="24" t="str">
        <f aca="false">Monthly!$D$52</f>
        <v>Dissemination</v>
      </c>
      <c r="F1560" s="24" t="str">
        <f aca="false">Monthly!$A$52</f>
        <v>Publications, null-results registry, conferences</v>
      </c>
      <c r="G1560" s="20" t="n">
        <f aca="false">Monthly!P$52</f>
        <v>3000</v>
      </c>
      <c r="H1560" s="24" t="str">
        <f aca="false">ScenarioName</f>
        <v>Base</v>
      </c>
    </row>
    <row r="1561" customFormat="false" ht="15" hidden="false" customHeight="false" outlineLevel="0" collapsed="false">
      <c r="A1561" s="8" t="n">
        <v>12</v>
      </c>
      <c r="B1561" s="39" t="n">
        <f aca="false">EDATE(StartDate,A1561-1)</f>
        <v>46722</v>
      </c>
      <c r="C1561" s="24" t="str">
        <f aca="false">Monthly!$B$52</f>
        <v>EnergyWave, Inc.</v>
      </c>
      <c r="D1561" s="24" t="str">
        <f aca="false">Monthly!$C$52</f>
        <v>Research</v>
      </c>
      <c r="E1561" s="24" t="str">
        <f aca="false">Monthly!$D$52</f>
        <v>Dissemination</v>
      </c>
      <c r="F1561" s="24" t="str">
        <f aca="false">Monthly!$A$52</f>
        <v>Publications, null-results registry, conferences</v>
      </c>
      <c r="G1561" s="20" t="n">
        <f aca="false">Monthly!Q$52</f>
        <v>3000</v>
      </c>
      <c r="H1561" s="24" t="str">
        <f aca="false">ScenarioName</f>
        <v>Base</v>
      </c>
    </row>
    <row r="1562" customFormat="false" ht="15" hidden="false" customHeight="false" outlineLevel="0" collapsed="false">
      <c r="A1562" s="8" t="n">
        <v>13</v>
      </c>
      <c r="B1562" s="39" t="n">
        <f aca="false">EDATE(StartDate,A1562-1)</f>
        <v>46753</v>
      </c>
      <c r="C1562" s="24" t="str">
        <f aca="false">Monthly!$B$52</f>
        <v>EnergyWave, Inc.</v>
      </c>
      <c r="D1562" s="24" t="str">
        <f aca="false">Monthly!$C$52</f>
        <v>Research</v>
      </c>
      <c r="E1562" s="24" t="str">
        <f aca="false">Monthly!$D$52</f>
        <v>Dissemination</v>
      </c>
      <c r="F1562" s="24" t="str">
        <f aca="false">Monthly!$A$52</f>
        <v>Publications, null-results registry, conferences</v>
      </c>
      <c r="G1562" s="20" t="n">
        <f aca="false">Monthly!R$52</f>
        <v>3000</v>
      </c>
      <c r="H1562" s="24" t="str">
        <f aca="false">ScenarioName</f>
        <v>Base</v>
      </c>
    </row>
    <row r="1563" customFormat="false" ht="15" hidden="false" customHeight="false" outlineLevel="0" collapsed="false">
      <c r="A1563" s="8" t="n">
        <v>14</v>
      </c>
      <c r="B1563" s="39" t="n">
        <f aca="false">EDATE(StartDate,A1563-1)</f>
        <v>46784</v>
      </c>
      <c r="C1563" s="24" t="str">
        <f aca="false">Monthly!$B$52</f>
        <v>EnergyWave, Inc.</v>
      </c>
      <c r="D1563" s="24" t="str">
        <f aca="false">Monthly!$C$52</f>
        <v>Research</v>
      </c>
      <c r="E1563" s="24" t="str">
        <f aca="false">Monthly!$D$52</f>
        <v>Dissemination</v>
      </c>
      <c r="F1563" s="24" t="str">
        <f aca="false">Monthly!$A$52</f>
        <v>Publications, null-results registry, conferences</v>
      </c>
      <c r="G1563" s="20" t="n">
        <f aca="false">Monthly!S$52</f>
        <v>3000</v>
      </c>
      <c r="H1563" s="24" t="str">
        <f aca="false">ScenarioName</f>
        <v>Base</v>
      </c>
    </row>
    <row r="1564" customFormat="false" ht="15" hidden="false" customHeight="false" outlineLevel="0" collapsed="false">
      <c r="A1564" s="8" t="n">
        <v>15</v>
      </c>
      <c r="B1564" s="39" t="n">
        <f aca="false">EDATE(StartDate,A1564-1)</f>
        <v>46813</v>
      </c>
      <c r="C1564" s="24" t="str">
        <f aca="false">Monthly!$B$52</f>
        <v>EnergyWave, Inc.</v>
      </c>
      <c r="D1564" s="24" t="str">
        <f aca="false">Monthly!$C$52</f>
        <v>Research</v>
      </c>
      <c r="E1564" s="24" t="str">
        <f aca="false">Monthly!$D$52</f>
        <v>Dissemination</v>
      </c>
      <c r="F1564" s="24" t="str">
        <f aca="false">Monthly!$A$52</f>
        <v>Publications, null-results registry, conferences</v>
      </c>
      <c r="G1564" s="20" t="n">
        <f aca="false">Monthly!T$52</f>
        <v>3000</v>
      </c>
      <c r="H1564" s="24" t="str">
        <f aca="false">ScenarioName</f>
        <v>Base</v>
      </c>
    </row>
    <row r="1565" customFormat="false" ht="15" hidden="false" customHeight="false" outlineLevel="0" collapsed="false">
      <c r="A1565" s="8" t="n">
        <v>16</v>
      </c>
      <c r="B1565" s="39" t="n">
        <f aca="false">EDATE(StartDate,A1565-1)</f>
        <v>46844</v>
      </c>
      <c r="C1565" s="24" t="str">
        <f aca="false">Monthly!$B$52</f>
        <v>EnergyWave, Inc.</v>
      </c>
      <c r="D1565" s="24" t="str">
        <f aca="false">Monthly!$C$52</f>
        <v>Research</v>
      </c>
      <c r="E1565" s="24" t="str">
        <f aca="false">Monthly!$D$52</f>
        <v>Dissemination</v>
      </c>
      <c r="F1565" s="24" t="str">
        <f aca="false">Monthly!$A$52</f>
        <v>Publications, null-results registry, conferences</v>
      </c>
      <c r="G1565" s="20" t="n">
        <f aca="false">Monthly!U$52</f>
        <v>3000</v>
      </c>
      <c r="H1565" s="24" t="str">
        <f aca="false">ScenarioName</f>
        <v>Base</v>
      </c>
    </row>
    <row r="1566" customFormat="false" ht="15" hidden="false" customHeight="false" outlineLevel="0" collapsed="false">
      <c r="A1566" s="8" t="n">
        <v>17</v>
      </c>
      <c r="B1566" s="39" t="n">
        <f aca="false">EDATE(StartDate,A1566-1)</f>
        <v>46874</v>
      </c>
      <c r="C1566" s="24" t="str">
        <f aca="false">Monthly!$B$52</f>
        <v>EnergyWave, Inc.</v>
      </c>
      <c r="D1566" s="24" t="str">
        <f aca="false">Monthly!$C$52</f>
        <v>Research</v>
      </c>
      <c r="E1566" s="24" t="str">
        <f aca="false">Monthly!$D$52</f>
        <v>Dissemination</v>
      </c>
      <c r="F1566" s="24" t="str">
        <f aca="false">Monthly!$A$52</f>
        <v>Publications, null-results registry, conferences</v>
      </c>
      <c r="G1566" s="20" t="n">
        <f aca="false">Monthly!V$52</f>
        <v>3000</v>
      </c>
      <c r="H1566" s="24" t="str">
        <f aca="false">ScenarioName</f>
        <v>Base</v>
      </c>
    </row>
    <row r="1567" customFormat="false" ht="15" hidden="false" customHeight="false" outlineLevel="0" collapsed="false">
      <c r="A1567" s="8" t="n">
        <v>18</v>
      </c>
      <c r="B1567" s="39" t="n">
        <f aca="false">EDATE(StartDate,A1567-1)</f>
        <v>46905</v>
      </c>
      <c r="C1567" s="24" t="str">
        <f aca="false">Monthly!$B$52</f>
        <v>EnergyWave, Inc.</v>
      </c>
      <c r="D1567" s="24" t="str">
        <f aca="false">Monthly!$C$52</f>
        <v>Research</v>
      </c>
      <c r="E1567" s="24" t="str">
        <f aca="false">Monthly!$D$52</f>
        <v>Dissemination</v>
      </c>
      <c r="F1567" s="24" t="str">
        <f aca="false">Monthly!$A$52</f>
        <v>Publications, null-results registry, conferences</v>
      </c>
      <c r="G1567" s="20" t="n">
        <f aca="false">Monthly!W$52</f>
        <v>3000</v>
      </c>
      <c r="H1567" s="24" t="str">
        <f aca="false">ScenarioName</f>
        <v>Base</v>
      </c>
    </row>
    <row r="1568" customFormat="false" ht="15" hidden="false" customHeight="false" outlineLevel="0" collapsed="false">
      <c r="A1568" s="8" t="n">
        <v>19</v>
      </c>
      <c r="B1568" s="39" t="n">
        <f aca="false">EDATE(StartDate,A1568-1)</f>
        <v>46935</v>
      </c>
      <c r="C1568" s="24" t="str">
        <f aca="false">Monthly!$B$52</f>
        <v>EnergyWave, Inc.</v>
      </c>
      <c r="D1568" s="24" t="str">
        <f aca="false">Monthly!$C$52</f>
        <v>Research</v>
      </c>
      <c r="E1568" s="24" t="str">
        <f aca="false">Monthly!$D$52</f>
        <v>Dissemination</v>
      </c>
      <c r="F1568" s="24" t="str">
        <f aca="false">Monthly!$A$52</f>
        <v>Publications, null-results registry, conferences</v>
      </c>
      <c r="G1568" s="20" t="n">
        <f aca="false">Monthly!X$52</f>
        <v>3000</v>
      </c>
      <c r="H1568" s="24" t="str">
        <f aca="false">ScenarioName</f>
        <v>Base</v>
      </c>
    </row>
    <row r="1569" customFormat="false" ht="15" hidden="false" customHeight="false" outlineLevel="0" collapsed="false">
      <c r="A1569" s="8" t="n">
        <v>20</v>
      </c>
      <c r="B1569" s="39" t="n">
        <f aca="false">EDATE(StartDate,A1569-1)</f>
        <v>46966</v>
      </c>
      <c r="C1569" s="24" t="str">
        <f aca="false">Monthly!$B$52</f>
        <v>EnergyWave, Inc.</v>
      </c>
      <c r="D1569" s="24" t="str">
        <f aca="false">Monthly!$C$52</f>
        <v>Research</v>
      </c>
      <c r="E1569" s="24" t="str">
        <f aca="false">Monthly!$D$52</f>
        <v>Dissemination</v>
      </c>
      <c r="F1569" s="24" t="str">
        <f aca="false">Monthly!$A$52</f>
        <v>Publications, null-results registry, conferences</v>
      </c>
      <c r="G1569" s="20" t="n">
        <f aca="false">Monthly!Y$52</f>
        <v>3000</v>
      </c>
      <c r="H1569" s="24" t="str">
        <f aca="false">ScenarioName</f>
        <v>Base</v>
      </c>
    </row>
    <row r="1570" customFormat="false" ht="15" hidden="false" customHeight="false" outlineLevel="0" collapsed="false">
      <c r="A1570" s="8" t="n">
        <v>21</v>
      </c>
      <c r="B1570" s="39" t="n">
        <f aca="false">EDATE(StartDate,A1570-1)</f>
        <v>46997</v>
      </c>
      <c r="C1570" s="24" t="str">
        <f aca="false">Monthly!$B$52</f>
        <v>EnergyWave, Inc.</v>
      </c>
      <c r="D1570" s="24" t="str">
        <f aca="false">Monthly!$C$52</f>
        <v>Research</v>
      </c>
      <c r="E1570" s="24" t="str">
        <f aca="false">Monthly!$D$52</f>
        <v>Dissemination</v>
      </c>
      <c r="F1570" s="24" t="str">
        <f aca="false">Monthly!$A$52</f>
        <v>Publications, null-results registry, conferences</v>
      </c>
      <c r="G1570" s="20" t="n">
        <f aca="false">Monthly!Z$52</f>
        <v>3000</v>
      </c>
      <c r="H1570" s="24" t="str">
        <f aca="false">ScenarioName</f>
        <v>Base</v>
      </c>
    </row>
    <row r="1571" customFormat="false" ht="15" hidden="false" customHeight="false" outlineLevel="0" collapsed="false">
      <c r="A1571" s="8" t="n">
        <v>22</v>
      </c>
      <c r="B1571" s="39" t="n">
        <f aca="false">EDATE(StartDate,A1571-1)</f>
        <v>47027</v>
      </c>
      <c r="C1571" s="24" t="str">
        <f aca="false">Monthly!$B$52</f>
        <v>EnergyWave, Inc.</v>
      </c>
      <c r="D1571" s="24" t="str">
        <f aca="false">Monthly!$C$52</f>
        <v>Research</v>
      </c>
      <c r="E1571" s="24" t="str">
        <f aca="false">Monthly!$D$52</f>
        <v>Dissemination</v>
      </c>
      <c r="F1571" s="24" t="str">
        <f aca="false">Monthly!$A$52</f>
        <v>Publications, null-results registry, conferences</v>
      </c>
      <c r="G1571" s="20" t="n">
        <f aca="false">Monthly!AA$52</f>
        <v>3000</v>
      </c>
      <c r="H1571" s="24" t="str">
        <f aca="false">ScenarioName</f>
        <v>Base</v>
      </c>
    </row>
    <row r="1572" customFormat="false" ht="15" hidden="false" customHeight="false" outlineLevel="0" collapsed="false">
      <c r="A1572" s="8" t="n">
        <v>23</v>
      </c>
      <c r="B1572" s="39" t="n">
        <f aca="false">EDATE(StartDate,A1572-1)</f>
        <v>47058</v>
      </c>
      <c r="C1572" s="24" t="str">
        <f aca="false">Monthly!$B$52</f>
        <v>EnergyWave, Inc.</v>
      </c>
      <c r="D1572" s="24" t="str">
        <f aca="false">Monthly!$C$52</f>
        <v>Research</v>
      </c>
      <c r="E1572" s="24" t="str">
        <f aca="false">Monthly!$D$52</f>
        <v>Dissemination</v>
      </c>
      <c r="F1572" s="24" t="str">
        <f aca="false">Monthly!$A$52</f>
        <v>Publications, null-results registry, conferences</v>
      </c>
      <c r="G1572" s="20" t="n">
        <f aca="false">Monthly!AB$52</f>
        <v>3000</v>
      </c>
      <c r="H1572" s="24" t="str">
        <f aca="false">ScenarioName</f>
        <v>Base</v>
      </c>
    </row>
    <row r="1573" customFormat="false" ht="15" hidden="false" customHeight="false" outlineLevel="0" collapsed="false">
      <c r="A1573" s="8" t="n">
        <v>24</v>
      </c>
      <c r="B1573" s="39" t="n">
        <f aca="false">EDATE(StartDate,A1573-1)</f>
        <v>47088</v>
      </c>
      <c r="C1573" s="24" t="str">
        <f aca="false">Monthly!$B$52</f>
        <v>EnergyWave, Inc.</v>
      </c>
      <c r="D1573" s="24" t="str">
        <f aca="false">Monthly!$C$52</f>
        <v>Research</v>
      </c>
      <c r="E1573" s="24" t="str">
        <f aca="false">Monthly!$D$52</f>
        <v>Dissemination</v>
      </c>
      <c r="F1573" s="24" t="str">
        <f aca="false">Monthly!$A$52</f>
        <v>Publications, null-results registry, conferences</v>
      </c>
      <c r="G1573" s="20" t="n">
        <f aca="false">Monthly!AC$52</f>
        <v>3000</v>
      </c>
      <c r="H1573" s="24" t="str">
        <f aca="false">ScenarioName</f>
        <v>Base</v>
      </c>
    </row>
    <row r="1574" customFormat="false" ht="15" hidden="false" customHeight="false" outlineLevel="0" collapsed="false">
      <c r="A1574" s="8" t="n">
        <v>25</v>
      </c>
      <c r="B1574" s="39" t="n">
        <f aca="false">EDATE(StartDate,A1574-1)</f>
        <v>47119</v>
      </c>
      <c r="C1574" s="24" t="str">
        <f aca="false">Monthly!$B$52</f>
        <v>EnergyWave, Inc.</v>
      </c>
      <c r="D1574" s="24" t="str">
        <f aca="false">Monthly!$C$52</f>
        <v>Research</v>
      </c>
      <c r="E1574" s="24" t="str">
        <f aca="false">Monthly!$D$52</f>
        <v>Dissemination</v>
      </c>
      <c r="F1574" s="24" t="str">
        <f aca="false">Monthly!$A$52</f>
        <v>Publications, null-results registry, conferences</v>
      </c>
      <c r="G1574" s="20" t="n">
        <f aca="false">Monthly!AD$52</f>
        <v>3000</v>
      </c>
      <c r="H1574" s="24" t="str">
        <f aca="false">ScenarioName</f>
        <v>Base</v>
      </c>
    </row>
    <row r="1575" customFormat="false" ht="15" hidden="false" customHeight="false" outlineLevel="0" collapsed="false">
      <c r="A1575" s="8" t="n">
        <v>26</v>
      </c>
      <c r="B1575" s="39" t="n">
        <f aca="false">EDATE(StartDate,A1575-1)</f>
        <v>47150</v>
      </c>
      <c r="C1575" s="24" t="str">
        <f aca="false">Monthly!$B$52</f>
        <v>EnergyWave, Inc.</v>
      </c>
      <c r="D1575" s="24" t="str">
        <f aca="false">Monthly!$C$52</f>
        <v>Research</v>
      </c>
      <c r="E1575" s="24" t="str">
        <f aca="false">Monthly!$D$52</f>
        <v>Dissemination</v>
      </c>
      <c r="F1575" s="24" t="str">
        <f aca="false">Monthly!$A$52</f>
        <v>Publications, null-results registry, conferences</v>
      </c>
      <c r="G1575" s="20" t="n">
        <f aca="false">Monthly!AE$52</f>
        <v>3000</v>
      </c>
      <c r="H1575" s="24" t="str">
        <f aca="false">ScenarioName</f>
        <v>Base</v>
      </c>
    </row>
    <row r="1576" customFormat="false" ht="15" hidden="false" customHeight="false" outlineLevel="0" collapsed="false">
      <c r="A1576" s="8" t="n">
        <v>27</v>
      </c>
      <c r="B1576" s="39" t="n">
        <f aca="false">EDATE(StartDate,A1576-1)</f>
        <v>47178</v>
      </c>
      <c r="C1576" s="24" t="str">
        <f aca="false">Monthly!$B$52</f>
        <v>EnergyWave, Inc.</v>
      </c>
      <c r="D1576" s="24" t="str">
        <f aca="false">Monthly!$C$52</f>
        <v>Research</v>
      </c>
      <c r="E1576" s="24" t="str">
        <f aca="false">Monthly!$D$52</f>
        <v>Dissemination</v>
      </c>
      <c r="F1576" s="24" t="str">
        <f aca="false">Monthly!$A$52</f>
        <v>Publications, null-results registry, conferences</v>
      </c>
      <c r="G1576" s="20" t="n">
        <f aca="false">Monthly!AF$52</f>
        <v>3000</v>
      </c>
      <c r="H1576" s="24" t="str">
        <f aca="false">ScenarioName</f>
        <v>Base</v>
      </c>
    </row>
    <row r="1577" customFormat="false" ht="15" hidden="false" customHeight="false" outlineLevel="0" collapsed="false">
      <c r="A1577" s="8" t="n">
        <v>28</v>
      </c>
      <c r="B1577" s="39" t="n">
        <f aca="false">EDATE(StartDate,A1577-1)</f>
        <v>47209</v>
      </c>
      <c r="C1577" s="24" t="str">
        <f aca="false">Monthly!$B$52</f>
        <v>EnergyWave, Inc.</v>
      </c>
      <c r="D1577" s="24" t="str">
        <f aca="false">Monthly!$C$52</f>
        <v>Research</v>
      </c>
      <c r="E1577" s="24" t="str">
        <f aca="false">Monthly!$D$52</f>
        <v>Dissemination</v>
      </c>
      <c r="F1577" s="24" t="str">
        <f aca="false">Monthly!$A$52</f>
        <v>Publications, null-results registry, conferences</v>
      </c>
      <c r="G1577" s="20" t="n">
        <f aca="false">Monthly!AG$52</f>
        <v>3000</v>
      </c>
      <c r="H1577" s="24" t="str">
        <f aca="false">ScenarioName</f>
        <v>Base</v>
      </c>
    </row>
    <row r="1578" customFormat="false" ht="15" hidden="false" customHeight="false" outlineLevel="0" collapsed="false">
      <c r="A1578" s="8" t="n">
        <v>29</v>
      </c>
      <c r="B1578" s="39" t="n">
        <f aca="false">EDATE(StartDate,A1578-1)</f>
        <v>47239</v>
      </c>
      <c r="C1578" s="24" t="str">
        <f aca="false">Monthly!$B$52</f>
        <v>EnergyWave, Inc.</v>
      </c>
      <c r="D1578" s="24" t="str">
        <f aca="false">Monthly!$C$52</f>
        <v>Research</v>
      </c>
      <c r="E1578" s="24" t="str">
        <f aca="false">Monthly!$D$52</f>
        <v>Dissemination</v>
      </c>
      <c r="F1578" s="24" t="str">
        <f aca="false">Monthly!$A$52</f>
        <v>Publications, null-results registry, conferences</v>
      </c>
      <c r="G1578" s="20" t="n">
        <f aca="false">Monthly!AH$52</f>
        <v>3000</v>
      </c>
      <c r="H1578" s="24" t="str">
        <f aca="false">ScenarioName</f>
        <v>Base</v>
      </c>
    </row>
    <row r="1579" customFormat="false" ht="15" hidden="false" customHeight="false" outlineLevel="0" collapsed="false">
      <c r="A1579" s="8" t="n">
        <v>30</v>
      </c>
      <c r="B1579" s="39" t="n">
        <f aca="false">EDATE(StartDate,A1579-1)</f>
        <v>47270</v>
      </c>
      <c r="C1579" s="24" t="str">
        <f aca="false">Monthly!$B$52</f>
        <v>EnergyWave, Inc.</v>
      </c>
      <c r="D1579" s="24" t="str">
        <f aca="false">Monthly!$C$52</f>
        <v>Research</v>
      </c>
      <c r="E1579" s="24" t="str">
        <f aca="false">Monthly!$D$52</f>
        <v>Dissemination</v>
      </c>
      <c r="F1579" s="24" t="str">
        <f aca="false">Monthly!$A$52</f>
        <v>Publications, null-results registry, conferences</v>
      </c>
      <c r="G1579" s="20" t="n">
        <f aca="false">Monthly!AI$52</f>
        <v>3000</v>
      </c>
      <c r="H1579" s="24" t="str">
        <f aca="false">ScenarioName</f>
        <v>Base</v>
      </c>
    </row>
    <row r="1580" customFormat="false" ht="15" hidden="false" customHeight="false" outlineLevel="0" collapsed="false">
      <c r="A1580" s="8" t="n">
        <v>31</v>
      </c>
      <c r="B1580" s="39" t="n">
        <f aca="false">EDATE(StartDate,A1580-1)</f>
        <v>47300</v>
      </c>
      <c r="C1580" s="24" t="str">
        <f aca="false">Monthly!$B$52</f>
        <v>EnergyWave, Inc.</v>
      </c>
      <c r="D1580" s="24" t="str">
        <f aca="false">Monthly!$C$52</f>
        <v>Research</v>
      </c>
      <c r="E1580" s="24" t="str">
        <f aca="false">Monthly!$D$52</f>
        <v>Dissemination</v>
      </c>
      <c r="F1580" s="24" t="str">
        <f aca="false">Monthly!$A$52</f>
        <v>Publications, null-results registry, conferences</v>
      </c>
      <c r="G1580" s="20" t="n">
        <f aca="false">Monthly!AJ$52</f>
        <v>3000</v>
      </c>
      <c r="H1580" s="24" t="str">
        <f aca="false">ScenarioName</f>
        <v>Base</v>
      </c>
    </row>
    <row r="1581" customFormat="false" ht="15" hidden="false" customHeight="false" outlineLevel="0" collapsed="false">
      <c r="A1581" s="8" t="n">
        <v>32</v>
      </c>
      <c r="B1581" s="39" t="n">
        <f aca="false">EDATE(StartDate,A1581-1)</f>
        <v>47331</v>
      </c>
      <c r="C1581" s="24" t="str">
        <f aca="false">Monthly!$B$52</f>
        <v>EnergyWave, Inc.</v>
      </c>
      <c r="D1581" s="24" t="str">
        <f aca="false">Monthly!$C$52</f>
        <v>Research</v>
      </c>
      <c r="E1581" s="24" t="str">
        <f aca="false">Monthly!$D$52</f>
        <v>Dissemination</v>
      </c>
      <c r="F1581" s="24" t="str">
        <f aca="false">Monthly!$A$52</f>
        <v>Publications, null-results registry, conferences</v>
      </c>
      <c r="G1581" s="20" t="n">
        <f aca="false">Monthly!AK$52</f>
        <v>3000</v>
      </c>
      <c r="H1581" s="24" t="str">
        <f aca="false">ScenarioName</f>
        <v>Base</v>
      </c>
    </row>
    <row r="1582" customFormat="false" ht="15" hidden="false" customHeight="false" outlineLevel="0" collapsed="false">
      <c r="A1582" s="8" t="n">
        <v>33</v>
      </c>
      <c r="B1582" s="39" t="n">
        <f aca="false">EDATE(StartDate,A1582-1)</f>
        <v>47362</v>
      </c>
      <c r="C1582" s="24" t="str">
        <f aca="false">Monthly!$B$52</f>
        <v>EnergyWave, Inc.</v>
      </c>
      <c r="D1582" s="24" t="str">
        <f aca="false">Monthly!$C$52</f>
        <v>Research</v>
      </c>
      <c r="E1582" s="24" t="str">
        <f aca="false">Monthly!$D$52</f>
        <v>Dissemination</v>
      </c>
      <c r="F1582" s="24" t="str">
        <f aca="false">Monthly!$A$52</f>
        <v>Publications, null-results registry, conferences</v>
      </c>
      <c r="G1582" s="20" t="n">
        <f aca="false">Monthly!AL$52</f>
        <v>3000</v>
      </c>
      <c r="H1582" s="24" t="str">
        <f aca="false">ScenarioName</f>
        <v>Base</v>
      </c>
    </row>
    <row r="1583" customFormat="false" ht="15" hidden="false" customHeight="false" outlineLevel="0" collapsed="false">
      <c r="A1583" s="8" t="n">
        <v>34</v>
      </c>
      <c r="B1583" s="39" t="n">
        <f aca="false">EDATE(StartDate,A1583-1)</f>
        <v>47392</v>
      </c>
      <c r="C1583" s="24" t="str">
        <f aca="false">Monthly!$B$52</f>
        <v>EnergyWave, Inc.</v>
      </c>
      <c r="D1583" s="24" t="str">
        <f aca="false">Monthly!$C$52</f>
        <v>Research</v>
      </c>
      <c r="E1583" s="24" t="str">
        <f aca="false">Monthly!$D$52</f>
        <v>Dissemination</v>
      </c>
      <c r="F1583" s="24" t="str">
        <f aca="false">Monthly!$A$52</f>
        <v>Publications, null-results registry, conferences</v>
      </c>
      <c r="G1583" s="20" t="n">
        <f aca="false">Monthly!AM$52</f>
        <v>3000</v>
      </c>
      <c r="H1583" s="24" t="str">
        <f aca="false">ScenarioName</f>
        <v>Base</v>
      </c>
    </row>
    <row r="1584" customFormat="false" ht="15" hidden="false" customHeight="false" outlineLevel="0" collapsed="false">
      <c r="A1584" s="8" t="n">
        <v>35</v>
      </c>
      <c r="B1584" s="39" t="n">
        <f aca="false">EDATE(StartDate,A1584-1)</f>
        <v>47423</v>
      </c>
      <c r="C1584" s="24" t="str">
        <f aca="false">Monthly!$B$52</f>
        <v>EnergyWave, Inc.</v>
      </c>
      <c r="D1584" s="24" t="str">
        <f aca="false">Monthly!$C$52</f>
        <v>Research</v>
      </c>
      <c r="E1584" s="24" t="str">
        <f aca="false">Monthly!$D$52</f>
        <v>Dissemination</v>
      </c>
      <c r="F1584" s="24" t="str">
        <f aca="false">Monthly!$A$52</f>
        <v>Publications, null-results registry, conferences</v>
      </c>
      <c r="G1584" s="20" t="n">
        <f aca="false">Monthly!AN$52</f>
        <v>3000</v>
      </c>
      <c r="H1584" s="24" t="str">
        <f aca="false">ScenarioName</f>
        <v>Base</v>
      </c>
    </row>
    <row r="1585" customFormat="false" ht="15" hidden="false" customHeight="false" outlineLevel="0" collapsed="false">
      <c r="A1585" s="8" t="n">
        <v>36</v>
      </c>
      <c r="B1585" s="39" t="n">
        <f aca="false">EDATE(StartDate,A1585-1)</f>
        <v>47453</v>
      </c>
      <c r="C1585" s="24" t="str">
        <f aca="false">Monthly!$B$52</f>
        <v>EnergyWave, Inc.</v>
      </c>
      <c r="D1585" s="24" t="str">
        <f aca="false">Monthly!$C$52</f>
        <v>Research</v>
      </c>
      <c r="E1585" s="24" t="str">
        <f aca="false">Monthly!$D$52</f>
        <v>Dissemination</v>
      </c>
      <c r="F1585" s="24" t="str">
        <f aca="false">Monthly!$A$52</f>
        <v>Publications, null-results registry, conferences</v>
      </c>
      <c r="G1585" s="20" t="n">
        <f aca="false">Monthly!AO$52</f>
        <v>3000</v>
      </c>
      <c r="H1585" s="24" t="str">
        <f aca="false">ScenarioName</f>
        <v>Base</v>
      </c>
    </row>
    <row r="1586" customFormat="false" ht="15" hidden="false" customHeight="false" outlineLevel="0" collapsed="false">
      <c r="A1586" s="8" t="n">
        <v>1</v>
      </c>
      <c r="B1586" s="39" t="n">
        <f aca="false">EDATE(StartDate,A1586-1)</f>
        <v>46388</v>
      </c>
      <c r="C1586" s="24" t="str">
        <f aca="false">Monthly!$B$53</f>
        <v>EnergyWave, Inc.</v>
      </c>
      <c r="D1586" s="24" t="str">
        <f aca="false">Monthly!$C$53</f>
        <v>G&amp;A</v>
      </c>
      <c r="E1586" s="24" t="str">
        <f aca="false">Monthly!$D$53</f>
        <v>Office</v>
      </c>
      <c r="F1586" s="24" t="str">
        <f aca="false">Monthly!$A$53</f>
        <v>Office equipment &amp; IT hardware</v>
      </c>
      <c r="G1586" s="20" t="n">
        <f aca="false">Monthly!F$53</f>
        <v>0</v>
      </c>
      <c r="H1586" s="24" t="str">
        <f aca="false">ScenarioName</f>
        <v>Base</v>
      </c>
    </row>
    <row r="1587" customFormat="false" ht="15" hidden="false" customHeight="false" outlineLevel="0" collapsed="false">
      <c r="A1587" s="8" t="n">
        <v>2</v>
      </c>
      <c r="B1587" s="39" t="n">
        <f aca="false">EDATE(StartDate,A1587-1)</f>
        <v>46419</v>
      </c>
      <c r="C1587" s="24" t="str">
        <f aca="false">Monthly!$B$53</f>
        <v>EnergyWave, Inc.</v>
      </c>
      <c r="D1587" s="24" t="str">
        <f aca="false">Monthly!$C$53</f>
        <v>G&amp;A</v>
      </c>
      <c r="E1587" s="24" t="str">
        <f aca="false">Monthly!$D$53</f>
        <v>Office</v>
      </c>
      <c r="F1587" s="24" t="str">
        <f aca="false">Monthly!$A$53</f>
        <v>Office equipment &amp; IT hardware</v>
      </c>
      <c r="G1587" s="20" t="n">
        <f aca="false">Monthly!G$53</f>
        <v>70000</v>
      </c>
      <c r="H1587" s="24" t="str">
        <f aca="false">ScenarioName</f>
        <v>Base</v>
      </c>
    </row>
    <row r="1588" customFormat="false" ht="15" hidden="false" customHeight="false" outlineLevel="0" collapsed="false">
      <c r="A1588" s="8" t="n">
        <v>3</v>
      </c>
      <c r="B1588" s="39" t="n">
        <f aca="false">EDATE(StartDate,A1588-1)</f>
        <v>46447</v>
      </c>
      <c r="C1588" s="24" t="str">
        <f aca="false">Monthly!$B$53</f>
        <v>EnergyWave, Inc.</v>
      </c>
      <c r="D1588" s="24" t="str">
        <f aca="false">Monthly!$C$53</f>
        <v>G&amp;A</v>
      </c>
      <c r="E1588" s="24" t="str">
        <f aca="false">Monthly!$D$53</f>
        <v>Office</v>
      </c>
      <c r="F1588" s="24" t="str">
        <f aca="false">Monthly!$A$53</f>
        <v>Office equipment &amp; IT hardware</v>
      </c>
      <c r="G1588" s="20" t="n">
        <f aca="false">Monthly!H$53</f>
        <v>0</v>
      </c>
      <c r="H1588" s="24" t="str">
        <f aca="false">ScenarioName</f>
        <v>Base</v>
      </c>
    </row>
    <row r="1589" customFormat="false" ht="15" hidden="false" customHeight="false" outlineLevel="0" collapsed="false">
      <c r="A1589" s="8" t="n">
        <v>4</v>
      </c>
      <c r="B1589" s="39" t="n">
        <f aca="false">EDATE(StartDate,A1589-1)</f>
        <v>46478</v>
      </c>
      <c r="C1589" s="24" t="str">
        <f aca="false">Monthly!$B$53</f>
        <v>EnergyWave, Inc.</v>
      </c>
      <c r="D1589" s="24" t="str">
        <f aca="false">Monthly!$C$53</f>
        <v>G&amp;A</v>
      </c>
      <c r="E1589" s="24" t="str">
        <f aca="false">Monthly!$D$53</f>
        <v>Office</v>
      </c>
      <c r="F1589" s="24" t="str">
        <f aca="false">Monthly!$A$53</f>
        <v>Office equipment &amp; IT hardware</v>
      </c>
      <c r="G1589" s="20" t="n">
        <f aca="false">Monthly!I$53</f>
        <v>0</v>
      </c>
      <c r="H1589" s="24" t="str">
        <f aca="false">ScenarioName</f>
        <v>Base</v>
      </c>
    </row>
    <row r="1590" customFormat="false" ht="15" hidden="false" customHeight="false" outlineLevel="0" collapsed="false">
      <c r="A1590" s="8" t="n">
        <v>5</v>
      </c>
      <c r="B1590" s="39" t="n">
        <f aca="false">EDATE(StartDate,A1590-1)</f>
        <v>46508</v>
      </c>
      <c r="C1590" s="24" t="str">
        <f aca="false">Monthly!$B$53</f>
        <v>EnergyWave, Inc.</v>
      </c>
      <c r="D1590" s="24" t="str">
        <f aca="false">Monthly!$C$53</f>
        <v>G&amp;A</v>
      </c>
      <c r="E1590" s="24" t="str">
        <f aca="false">Monthly!$D$53</f>
        <v>Office</v>
      </c>
      <c r="F1590" s="24" t="str">
        <f aca="false">Monthly!$A$53</f>
        <v>Office equipment &amp; IT hardware</v>
      </c>
      <c r="G1590" s="20" t="n">
        <f aca="false">Monthly!J$53</f>
        <v>0</v>
      </c>
      <c r="H1590" s="24" t="str">
        <f aca="false">ScenarioName</f>
        <v>Base</v>
      </c>
    </row>
    <row r="1591" customFormat="false" ht="15" hidden="false" customHeight="false" outlineLevel="0" collapsed="false">
      <c r="A1591" s="8" t="n">
        <v>6</v>
      </c>
      <c r="B1591" s="39" t="n">
        <f aca="false">EDATE(StartDate,A1591-1)</f>
        <v>46539</v>
      </c>
      <c r="C1591" s="24" t="str">
        <f aca="false">Monthly!$B$53</f>
        <v>EnergyWave, Inc.</v>
      </c>
      <c r="D1591" s="24" t="str">
        <f aca="false">Monthly!$C$53</f>
        <v>G&amp;A</v>
      </c>
      <c r="E1591" s="24" t="str">
        <f aca="false">Monthly!$D$53</f>
        <v>Office</v>
      </c>
      <c r="F1591" s="24" t="str">
        <f aca="false">Monthly!$A$53</f>
        <v>Office equipment &amp; IT hardware</v>
      </c>
      <c r="G1591" s="20" t="n">
        <f aca="false">Monthly!K$53</f>
        <v>0</v>
      </c>
      <c r="H1591" s="24" t="str">
        <f aca="false">ScenarioName</f>
        <v>Base</v>
      </c>
    </row>
    <row r="1592" customFormat="false" ht="15" hidden="false" customHeight="false" outlineLevel="0" collapsed="false">
      <c r="A1592" s="8" t="n">
        <v>7</v>
      </c>
      <c r="B1592" s="39" t="n">
        <f aca="false">EDATE(StartDate,A1592-1)</f>
        <v>46569</v>
      </c>
      <c r="C1592" s="24" t="str">
        <f aca="false">Monthly!$B$53</f>
        <v>EnergyWave, Inc.</v>
      </c>
      <c r="D1592" s="24" t="str">
        <f aca="false">Monthly!$C$53</f>
        <v>G&amp;A</v>
      </c>
      <c r="E1592" s="24" t="str">
        <f aca="false">Monthly!$D$53</f>
        <v>Office</v>
      </c>
      <c r="F1592" s="24" t="str">
        <f aca="false">Monthly!$A$53</f>
        <v>Office equipment &amp; IT hardware</v>
      </c>
      <c r="G1592" s="20" t="n">
        <f aca="false">Monthly!L$53</f>
        <v>0</v>
      </c>
      <c r="H1592" s="24" t="str">
        <f aca="false">ScenarioName</f>
        <v>Base</v>
      </c>
    </row>
    <row r="1593" customFormat="false" ht="15" hidden="false" customHeight="false" outlineLevel="0" collapsed="false">
      <c r="A1593" s="8" t="n">
        <v>8</v>
      </c>
      <c r="B1593" s="39" t="n">
        <f aca="false">EDATE(StartDate,A1593-1)</f>
        <v>46600</v>
      </c>
      <c r="C1593" s="24" t="str">
        <f aca="false">Monthly!$B$53</f>
        <v>EnergyWave, Inc.</v>
      </c>
      <c r="D1593" s="24" t="str">
        <f aca="false">Monthly!$C$53</f>
        <v>G&amp;A</v>
      </c>
      <c r="E1593" s="24" t="str">
        <f aca="false">Monthly!$D$53</f>
        <v>Office</v>
      </c>
      <c r="F1593" s="24" t="str">
        <f aca="false">Monthly!$A$53</f>
        <v>Office equipment &amp; IT hardware</v>
      </c>
      <c r="G1593" s="20" t="n">
        <f aca="false">Monthly!M$53</f>
        <v>0</v>
      </c>
      <c r="H1593" s="24" t="str">
        <f aca="false">ScenarioName</f>
        <v>Base</v>
      </c>
    </row>
    <row r="1594" customFormat="false" ht="15" hidden="false" customHeight="false" outlineLevel="0" collapsed="false">
      <c r="A1594" s="8" t="n">
        <v>9</v>
      </c>
      <c r="B1594" s="39" t="n">
        <f aca="false">EDATE(StartDate,A1594-1)</f>
        <v>46631</v>
      </c>
      <c r="C1594" s="24" t="str">
        <f aca="false">Monthly!$B$53</f>
        <v>EnergyWave, Inc.</v>
      </c>
      <c r="D1594" s="24" t="str">
        <f aca="false">Monthly!$C$53</f>
        <v>G&amp;A</v>
      </c>
      <c r="E1594" s="24" t="str">
        <f aca="false">Monthly!$D$53</f>
        <v>Office</v>
      </c>
      <c r="F1594" s="24" t="str">
        <f aca="false">Monthly!$A$53</f>
        <v>Office equipment &amp; IT hardware</v>
      </c>
      <c r="G1594" s="20" t="n">
        <f aca="false">Monthly!N$53</f>
        <v>0</v>
      </c>
      <c r="H1594" s="24" t="str">
        <f aca="false">ScenarioName</f>
        <v>Base</v>
      </c>
    </row>
    <row r="1595" customFormat="false" ht="15" hidden="false" customHeight="false" outlineLevel="0" collapsed="false">
      <c r="A1595" s="8" t="n">
        <v>10</v>
      </c>
      <c r="B1595" s="39" t="n">
        <f aca="false">EDATE(StartDate,A1595-1)</f>
        <v>46661</v>
      </c>
      <c r="C1595" s="24" t="str">
        <f aca="false">Monthly!$B$53</f>
        <v>EnergyWave, Inc.</v>
      </c>
      <c r="D1595" s="24" t="str">
        <f aca="false">Monthly!$C$53</f>
        <v>G&amp;A</v>
      </c>
      <c r="E1595" s="24" t="str">
        <f aca="false">Monthly!$D$53</f>
        <v>Office</v>
      </c>
      <c r="F1595" s="24" t="str">
        <f aca="false">Monthly!$A$53</f>
        <v>Office equipment &amp; IT hardware</v>
      </c>
      <c r="G1595" s="20" t="n">
        <f aca="false">Monthly!O$53</f>
        <v>0</v>
      </c>
      <c r="H1595" s="24" t="str">
        <f aca="false">ScenarioName</f>
        <v>Base</v>
      </c>
    </row>
    <row r="1596" customFormat="false" ht="15" hidden="false" customHeight="false" outlineLevel="0" collapsed="false">
      <c r="A1596" s="8" t="n">
        <v>11</v>
      </c>
      <c r="B1596" s="39" t="n">
        <f aca="false">EDATE(StartDate,A1596-1)</f>
        <v>46692</v>
      </c>
      <c r="C1596" s="24" t="str">
        <f aca="false">Monthly!$B$53</f>
        <v>EnergyWave, Inc.</v>
      </c>
      <c r="D1596" s="24" t="str">
        <f aca="false">Monthly!$C$53</f>
        <v>G&amp;A</v>
      </c>
      <c r="E1596" s="24" t="str">
        <f aca="false">Monthly!$D$53</f>
        <v>Office</v>
      </c>
      <c r="F1596" s="24" t="str">
        <f aca="false">Monthly!$A$53</f>
        <v>Office equipment &amp; IT hardware</v>
      </c>
      <c r="G1596" s="20" t="n">
        <f aca="false">Monthly!P$53</f>
        <v>0</v>
      </c>
      <c r="H1596" s="24" t="str">
        <f aca="false">ScenarioName</f>
        <v>Base</v>
      </c>
    </row>
    <row r="1597" customFormat="false" ht="15" hidden="false" customHeight="false" outlineLevel="0" collapsed="false">
      <c r="A1597" s="8" t="n">
        <v>12</v>
      </c>
      <c r="B1597" s="39" t="n">
        <f aca="false">EDATE(StartDate,A1597-1)</f>
        <v>46722</v>
      </c>
      <c r="C1597" s="24" t="str">
        <f aca="false">Monthly!$B$53</f>
        <v>EnergyWave, Inc.</v>
      </c>
      <c r="D1597" s="24" t="str">
        <f aca="false">Monthly!$C$53</f>
        <v>G&amp;A</v>
      </c>
      <c r="E1597" s="24" t="str">
        <f aca="false">Monthly!$D$53</f>
        <v>Office</v>
      </c>
      <c r="F1597" s="24" t="str">
        <f aca="false">Monthly!$A$53</f>
        <v>Office equipment &amp; IT hardware</v>
      </c>
      <c r="G1597" s="20" t="n">
        <f aca="false">Monthly!Q$53</f>
        <v>0</v>
      </c>
      <c r="H1597" s="24" t="str">
        <f aca="false">ScenarioName</f>
        <v>Base</v>
      </c>
    </row>
    <row r="1598" customFormat="false" ht="15" hidden="false" customHeight="false" outlineLevel="0" collapsed="false">
      <c r="A1598" s="8" t="n">
        <v>13</v>
      </c>
      <c r="B1598" s="39" t="n">
        <f aca="false">EDATE(StartDate,A1598-1)</f>
        <v>46753</v>
      </c>
      <c r="C1598" s="24" t="str">
        <f aca="false">Monthly!$B$53</f>
        <v>EnergyWave, Inc.</v>
      </c>
      <c r="D1598" s="24" t="str">
        <f aca="false">Monthly!$C$53</f>
        <v>G&amp;A</v>
      </c>
      <c r="E1598" s="24" t="str">
        <f aca="false">Monthly!$D$53</f>
        <v>Office</v>
      </c>
      <c r="F1598" s="24" t="str">
        <f aca="false">Monthly!$A$53</f>
        <v>Office equipment &amp; IT hardware</v>
      </c>
      <c r="G1598" s="20" t="n">
        <f aca="false">Monthly!R$53</f>
        <v>0</v>
      </c>
      <c r="H1598" s="24" t="str">
        <f aca="false">ScenarioName</f>
        <v>Base</v>
      </c>
    </row>
    <row r="1599" customFormat="false" ht="15" hidden="false" customHeight="false" outlineLevel="0" collapsed="false">
      <c r="A1599" s="8" t="n">
        <v>14</v>
      </c>
      <c r="B1599" s="39" t="n">
        <f aca="false">EDATE(StartDate,A1599-1)</f>
        <v>46784</v>
      </c>
      <c r="C1599" s="24" t="str">
        <f aca="false">Monthly!$B$53</f>
        <v>EnergyWave, Inc.</v>
      </c>
      <c r="D1599" s="24" t="str">
        <f aca="false">Monthly!$C$53</f>
        <v>G&amp;A</v>
      </c>
      <c r="E1599" s="24" t="str">
        <f aca="false">Monthly!$D$53</f>
        <v>Office</v>
      </c>
      <c r="F1599" s="24" t="str">
        <f aca="false">Monthly!$A$53</f>
        <v>Office equipment &amp; IT hardware</v>
      </c>
      <c r="G1599" s="20" t="n">
        <f aca="false">Monthly!S$53</f>
        <v>0</v>
      </c>
      <c r="H1599" s="24" t="str">
        <f aca="false">ScenarioName</f>
        <v>Base</v>
      </c>
    </row>
    <row r="1600" customFormat="false" ht="15" hidden="false" customHeight="false" outlineLevel="0" collapsed="false">
      <c r="A1600" s="8" t="n">
        <v>15</v>
      </c>
      <c r="B1600" s="39" t="n">
        <f aca="false">EDATE(StartDate,A1600-1)</f>
        <v>46813</v>
      </c>
      <c r="C1600" s="24" t="str">
        <f aca="false">Monthly!$B$53</f>
        <v>EnergyWave, Inc.</v>
      </c>
      <c r="D1600" s="24" t="str">
        <f aca="false">Monthly!$C$53</f>
        <v>G&amp;A</v>
      </c>
      <c r="E1600" s="24" t="str">
        <f aca="false">Monthly!$D$53</f>
        <v>Office</v>
      </c>
      <c r="F1600" s="24" t="str">
        <f aca="false">Monthly!$A$53</f>
        <v>Office equipment &amp; IT hardware</v>
      </c>
      <c r="G1600" s="20" t="n">
        <f aca="false">Monthly!T$53</f>
        <v>0</v>
      </c>
      <c r="H1600" s="24" t="str">
        <f aca="false">ScenarioName</f>
        <v>Base</v>
      </c>
    </row>
    <row r="1601" customFormat="false" ht="15" hidden="false" customHeight="false" outlineLevel="0" collapsed="false">
      <c r="A1601" s="8" t="n">
        <v>16</v>
      </c>
      <c r="B1601" s="39" t="n">
        <f aca="false">EDATE(StartDate,A1601-1)</f>
        <v>46844</v>
      </c>
      <c r="C1601" s="24" t="str">
        <f aca="false">Monthly!$B$53</f>
        <v>EnergyWave, Inc.</v>
      </c>
      <c r="D1601" s="24" t="str">
        <f aca="false">Monthly!$C$53</f>
        <v>G&amp;A</v>
      </c>
      <c r="E1601" s="24" t="str">
        <f aca="false">Monthly!$D$53</f>
        <v>Office</v>
      </c>
      <c r="F1601" s="24" t="str">
        <f aca="false">Monthly!$A$53</f>
        <v>Office equipment &amp; IT hardware</v>
      </c>
      <c r="G1601" s="20" t="n">
        <f aca="false">Monthly!U$53</f>
        <v>0</v>
      </c>
      <c r="H1601" s="24" t="str">
        <f aca="false">ScenarioName</f>
        <v>Base</v>
      </c>
    </row>
    <row r="1602" customFormat="false" ht="15" hidden="false" customHeight="false" outlineLevel="0" collapsed="false">
      <c r="A1602" s="8" t="n">
        <v>17</v>
      </c>
      <c r="B1602" s="39" t="n">
        <f aca="false">EDATE(StartDate,A1602-1)</f>
        <v>46874</v>
      </c>
      <c r="C1602" s="24" t="str">
        <f aca="false">Monthly!$B$53</f>
        <v>EnergyWave, Inc.</v>
      </c>
      <c r="D1602" s="24" t="str">
        <f aca="false">Monthly!$C$53</f>
        <v>G&amp;A</v>
      </c>
      <c r="E1602" s="24" t="str">
        <f aca="false">Monthly!$D$53</f>
        <v>Office</v>
      </c>
      <c r="F1602" s="24" t="str">
        <f aca="false">Monthly!$A$53</f>
        <v>Office equipment &amp; IT hardware</v>
      </c>
      <c r="G1602" s="20" t="n">
        <f aca="false">Monthly!V$53</f>
        <v>0</v>
      </c>
      <c r="H1602" s="24" t="str">
        <f aca="false">ScenarioName</f>
        <v>Base</v>
      </c>
    </row>
    <row r="1603" customFormat="false" ht="15" hidden="false" customHeight="false" outlineLevel="0" collapsed="false">
      <c r="A1603" s="8" t="n">
        <v>18</v>
      </c>
      <c r="B1603" s="39" t="n">
        <f aca="false">EDATE(StartDate,A1603-1)</f>
        <v>46905</v>
      </c>
      <c r="C1603" s="24" t="str">
        <f aca="false">Monthly!$B$53</f>
        <v>EnergyWave, Inc.</v>
      </c>
      <c r="D1603" s="24" t="str">
        <f aca="false">Monthly!$C$53</f>
        <v>G&amp;A</v>
      </c>
      <c r="E1603" s="24" t="str">
        <f aca="false">Monthly!$D$53</f>
        <v>Office</v>
      </c>
      <c r="F1603" s="24" t="str">
        <f aca="false">Monthly!$A$53</f>
        <v>Office equipment &amp; IT hardware</v>
      </c>
      <c r="G1603" s="20" t="n">
        <f aca="false">Monthly!W$53</f>
        <v>0</v>
      </c>
      <c r="H1603" s="24" t="str">
        <f aca="false">ScenarioName</f>
        <v>Base</v>
      </c>
    </row>
    <row r="1604" customFormat="false" ht="15" hidden="false" customHeight="false" outlineLevel="0" collapsed="false">
      <c r="A1604" s="8" t="n">
        <v>19</v>
      </c>
      <c r="B1604" s="39" t="n">
        <f aca="false">EDATE(StartDate,A1604-1)</f>
        <v>46935</v>
      </c>
      <c r="C1604" s="24" t="str">
        <f aca="false">Monthly!$B$53</f>
        <v>EnergyWave, Inc.</v>
      </c>
      <c r="D1604" s="24" t="str">
        <f aca="false">Monthly!$C$53</f>
        <v>G&amp;A</v>
      </c>
      <c r="E1604" s="24" t="str">
        <f aca="false">Monthly!$D$53</f>
        <v>Office</v>
      </c>
      <c r="F1604" s="24" t="str">
        <f aca="false">Monthly!$A$53</f>
        <v>Office equipment &amp; IT hardware</v>
      </c>
      <c r="G1604" s="20" t="n">
        <f aca="false">Monthly!X$53</f>
        <v>0</v>
      </c>
      <c r="H1604" s="24" t="str">
        <f aca="false">ScenarioName</f>
        <v>Base</v>
      </c>
    </row>
    <row r="1605" customFormat="false" ht="15" hidden="false" customHeight="false" outlineLevel="0" collapsed="false">
      <c r="A1605" s="8" t="n">
        <v>20</v>
      </c>
      <c r="B1605" s="39" t="n">
        <f aca="false">EDATE(StartDate,A1605-1)</f>
        <v>46966</v>
      </c>
      <c r="C1605" s="24" t="str">
        <f aca="false">Monthly!$B$53</f>
        <v>EnergyWave, Inc.</v>
      </c>
      <c r="D1605" s="24" t="str">
        <f aca="false">Monthly!$C$53</f>
        <v>G&amp;A</v>
      </c>
      <c r="E1605" s="24" t="str">
        <f aca="false">Monthly!$D$53</f>
        <v>Office</v>
      </c>
      <c r="F1605" s="24" t="str">
        <f aca="false">Monthly!$A$53</f>
        <v>Office equipment &amp; IT hardware</v>
      </c>
      <c r="G1605" s="20" t="n">
        <f aca="false">Monthly!Y$53</f>
        <v>0</v>
      </c>
      <c r="H1605" s="24" t="str">
        <f aca="false">ScenarioName</f>
        <v>Base</v>
      </c>
    </row>
    <row r="1606" customFormat="false" ht="15" hidden="false" customHeight="false" outlineLevel="0" collapsed="false">
      <c r="A1606" s="8" t="n">
        <v>21</v>
      </c>
      <c r="B1606" s="39" t="n">
        <f aca="false">EDATE(StartDate,A1606-1)</f>
        <v>46997</v>
      </c>
      <c r="C1606" s="24" t="str">
        <f aca="false">Monthly!$B$53</f>
        <v>EnergyWave, Inc.</v>
      </c>
      <c r="D1606" s="24" t="str">
        <f aca="false">Monthly!$C$53</f>
        <v>G&amp;A</v>
      </c>
      <c r="E1606" s="24" t="str">
        <f aca="false">Monthly!$D$53</f>
        <v>Office</v>
      </c>
      <c r="F1606" s="24" t="str">
        <f aca="false">Monthly!$A$53</f>
        <v>Office equipment &amp; IT hardware</v>
      </c>
      <c r="G1606" s="20" t="n">
        <f aca="false">Monthly!Z$53</f>
        <v>0</v>
      </c>
      <c r="H1606" s="24" t="str">
        <f aca="false">ScenarioName</f>
        <v>Base</v>
      </c>
    </row>
    <row r="1607" customFormat="false" ht="15" hidden="false" customHeight="false" outlineLevel="0" collapsed="false">
      <c r="A1607" s="8" t="n">
        <v>22</v>
      </c>
      <c r="B1607" s="39" t="n">
        <f aca="false">EDATE(StartDate,A1607-1)</f>
        <v>47027</v>
      </c>
      <c r="C1607" s="24" t="str">
        <f aca="false">Monthly!$B$53</f>
        <v>EnergyWave, Inc.</v>
      </c>
      <c r="D1607" s="24" t="str">
        <f aca="false">Monthly!$C$53</f>
        <v>G&amp;A</v>
      </c>
      <c r="E1607" s="24" t="str">
        <f aca="false">Monthly!$D$53</f>
        <v>Office</v>
      </c>
      <c r="F1607" s="24" t="str">
        <f aca="false">Monthly!$A$53</f>
        <v>Office equipment &amp; IT hardware</v>
      </c>
      <c r="G1607" s="20" t="n">
        <f aca="false">Monthly!AA$53</f>
        <v>0</v>
      </c>
      <c r="H1607" s="24" t="str">
        <f aca="false">ScenarioName</f>
        <v>Base</v>
      </c>
    </row>
    <row r="1608" customFormat="false" ht="15" hidden="false" customHeight="false" outlineLevel="0" collapsed="false">
      <c r="A1608" s="8" t="n">
        <v>23</v>
      </c>
      <c r="B1608" s="39" t="n">
        <f aca="false">EDATE(StartDate,A1608-1)</f>
        <v>47058</v>
      </c>
      <c r="C1608" s="24" t="str">
        <f aca="false">Monthly!$B$53</f>
        <v>EnergyWave, Inc.</v>
      </c>
      <c r="D1608" s="24" t="str">
        <f aca="false">Monthly!$C$53</f>
        <v>G&amp;A</v>
      </c>
      <c r="E1608" s="24" t="str">
        <f aca="false">Monthly!$D$53</f>
        <v>Office</v>
      </c>
      <c r="F1608" s="24" t="str">
        <f aca="false">Monthly!$A$53</f>
        <v>Office equipment &amp; IT hardware</v>
      </c>
      <c r="G1608" s="20" t="n">
        <f aca="false">Monthly!AB$53</f>
        <v>0</v>
      </c>
      <c r="H1608" s="24" t="str">
        <f aca="false">ScenarioName</f>
        <v>Base</v>
      </c>
    </row>
    <row r="1609" customFormat="false" ht="15" hidden="false" customHeight="false" outlineLevel="0" collapsed="false">
      <c r="A1609" s="8" t="n">
        <v>24</v>
      </c>
      <c r="B1609" s="39" t="n">
        <f aca="false">EDATE(StartDate,A1609-1)</f>
        <v>47088</v>
      </c>
      <c r="C1609" s="24" t="str">
        <f aca="false">Monthly!$B$53</f>
        <v>EnergyWave, Inc.</v>
      </c>
      <c r="D1609" s="24" t="str">
        <f aca="false">Monthly!$C$53</f>
        <v>G&amp;A</v>
      </c>
      <c r="E1609" s="24" t="str">
        <f aca="false">Monthly!$D$53</f>
        <v>Office</v>
      </c>
      <c r="F1609" s="24" t="str">
        <f aca="false">Monthly!$A$53</f>
        <v>Office equipment &amp; IT hardware</v>
      </c>
      <c r="G1609" s="20" t="n">
        <f aca="false">Monthly!AC$53</f>
        <v>0</v>
      </c>
      <c r="H1609" s="24" t="str">
        <f aca="false">ScenarioName</f>
        <v>Base</v>
      </c>
    </row>
    <row r="1610" customFormat="false" ht="15" hidden="false" customHeight="false" outlineLevel="0" collapsed="false">
      <c r="A1610" s="8" t="n">
        <v>25</v>
      </c>
      <c r="B1610" s="39" t="n">
        <f aca="false">EDATE(StartDate,A1610-1)</f>
        <v>47119</v>
      </c>
      <c r="C1610" s="24" t="str">
        <f aca="false">Monthly!$B$53</f>
        <v>EnergyWave, Inc.</v>
      </c>
      <c r="D1610" s="24" t="str">
        <f aca="false">Monthly!$C$53</f>
        <v>G&amp;A</v>
      </c>
      <c r="E1610" s="24" t="str">
        <f aca="false">Monthly!$D$53</f>
        <v>Office</v>
      </c>
      <c r="F1610" s="24" t="str">
        <f aca="false">Monthly!$A$53</f>
        <v>Office equipment &amp; IT hardware</v>
      </c>
      <c r="G1610" s="20" t="n">
        <f aca="false">Monthly!AD$53</f>
        <v>0</v>
      </c>
      <c r="H1610" s="24" t="str">
        <f aca="false">ScenarioName</f>
        <v>Base</v>
      </c>
    </row>
    <row r="1611" customFormat="false" ht="15" hidden="false" customHeight="false" outlineLevel="0" collapsed="false">
      <c r="A1611" s="8" t="n">
        <v>26</v>
      </c>
      <c r="B1611" s="39" t="n">
        <f aca="false">EDATE(StartDate,A1611-1)</f>
        <v>47150</v>
      </c>
      <c r="C1611" s="24" t="str">
        <f aca="false">Monthly!$B$53</f>
        <v>EnergyWave, Inc.</v>
      </c>
      <c r="D1611" s="24" t="str">
        <f aca="false">Monthly!$C$53</f>
        <v>G&amp;A</v>
      </c>
      <c r="E1611" s="24" t="str">
        <f aca="false">Monthly!$D$53</f>
        <v>Office</v>
      </c>
      <c r="F1611" s="24" t="str">
        <f aca="false">Monthly!$A$53</f>
        <v>Office equipment &amp; IT hardware</v>
      </c>
      <c r="G1611" s="20" t="n">
        <f aca="false">Monthly!AE$53</f>
        <v>0</v>
      </c>
      <c r="H1611" s="24" t="str">
        <f aca="false">ScenarioName</f>
        <v>Base</v>
      </c>
    </row>
    <row r="1612" customFormat="false" ht="15" hidden="false" customHeight="false" outlineLevel="0" collapsed="false">
      <c r="A1612" s="8" t="n">
        <v>27</v>
      </c>
      <c r="B1612" s="39" t="n">
        <f aca="false">EDATE(StartDate,A1612-1)</f>
        <v>47178</v>
      </c>
      <c r="C1612" s="24" t="str">
        <f aca="false">Monthly!$B$53</f>
        <v>EnergyWave, Inc.</v>
      </c>
      <c r="D1612" s="24" t="str">
        <f aca="false">Monthly!$C$53</f>
        <v>G&amp;A</v>
      </c>
      <c r="E1612" s="24" t="str">
        <f aca="false">Monthly!$D$53</f>
        <v>Office</v>
      </c>
      <c r="F1612" s="24" t="str">
        <f aca="false">Monthly!$A$53</f>
        <v>Office equipment &amp; IT hardware</v>
      </c>
      <c r="G1612" s="20" t="n">
        <f aca="false">Monthly!AF$53</f>
        <v>0</v>
      </c>
      <c r="H1612" s="24" t="str">
        <f aca="false">ScenarioName</f>
        <v>Base</v>
      </c>
    </row>
    <row r="1613" customFormat="false" ht="15" hidden="false" customHeight="false" outlineLevel="0" collapsed="false">
      <c r="A1613" s="8" t="n">
        <v>28</v>
      </c>
      <c r="B1613" s="39" t="n">
        <f aca="false">EDATE(StartDate,A1613-1)</f>
        <v>47209</v>
      </c>
      <c r="C1613" s="24" t="str">
        <f aca="false">Monthly!$B$53</f>
        <v>EnergyWave, Inc.</v>
      </c>
      <c r="D1613" s="24" t="str">
        <f aca="false">Monthly!$C$53</f>
        <v>G&amp;A</v>
      </c>
      <c r="E1613" s="24" t="str">
        <f aca="false">Monthly!$D$53</f>
        <v>Office</v>
      </c>
      <c r="F1613" s="24" t="str">
        <f aca="false">Monthly!$A$53</f>
        <v>Office equipment &amp; IT hardware</v>
      </c>
      <c r="G1613" s="20" t="n">
        <f aca="false">Monthly!AG$53</f>
        <v>0</v>
      </c>
      <c r="H1613" s="24" t="str">
        <f aca="false">ScenarioName</f>
        <v>Base</v>
      </c>
    </row>
    <row r="1614" customFormat="false" ht="15" hidden="false" customHeight="false" outlineLevel="0" collapsed="false">
      <c r="A1614" s="8" t="n">
        <v>29</v>
      </c>
      <c r="B1614" s="39" t="n">
        <f aca="false">EDATE(StartDate,A1614-1)</f>
        <v>47239</v>
      </c>
      <c r="C1614" s="24" t="str">
        <f aca="false">Monthly!$B$53</f>
        <v>EnergyWave, Inc.</v>
      </c>
      <c r="D1614" s="24" t="str">
        <f aca="false">Monthly!$C$53</f>
        <v>G&amp;A</v>
      </c>
      <c r="E1614" s="24" t="str">
        <f aca="false">Monthly!$D$53</f>
        <v>Office</v>
      </c>
      <c r="F1614" s="24" t="str">
        <f aca="false">Monthly!$A$53</f>
        <v>Office equipment &amp; IT hardware</v>
      </c>
      <c r="G1614" s="20" t="n">
        <f aca="false">Monthly!AH$53</f>
        <v>0</v>
      </c>
      <c r="H1614" s="24" t="str">
        <f aca="false">ScenarioName</f>
        <v>Base</v>
      </c>
    </row>
    <row r="1615" customFormat="false" ht="15" hidden="false" customHeight="false" outlineLevel="0" collapsed="false">
      <c r="A1615" s="8" t="n">
        <v>30</v>
      </c>
      <c r="B1615" s="39" t="n">
        <f aca="false">EDATE(StartDate,A1615-1)</f>
        <v>47270</v>
      </c>
      <c r="C1615" s="24" t="str">
        <f aca="false">Monthly!$B$53</f>
        <v>EnergyWave, Inc.</v>
      </c>
      <c r="D1615" s="24" t="str">
        <f aca="false">Monthly!$C$53</f>
        <v>G&amp;A</v>
      </c>
      <c r="E1615" s="24" t="str">
        <f aca="false">Monthly!$D$53</f>
        <v>Office</v>
      </c>
      <c r="F1615" s="24" t="str">
        <f aca="false">Monthly!$A$53</f>
        <v>Office equipment &amp; IT hardware</v>
      </c>
      <c r="G1615" s="20" t="n">
        <f aca="false">Monthly!AI$53</f>
        <v>0</v>
      </c>
      <c r="H1615" s="24" t="str">
        <f aca="false">ScenarioName</f>
        <v>Base</v>
      </c>
    </row>
    <row r="1616" customFormat="false" ht="15" hidden="false" customHeight="false" outlineLevel="0" collapsed="false">
      <c r="A1616" s="8" t="n">
        <v>31</v>
      </c>
      <c r="B1616" s="39" t="n">
        <f aca="false">EDATE(StartDate,A1616-1)</f>
        <v>47300</v>
      </c>
      <c r="C1616" s="24" t="str">
        <f aca="false">Monthly!$B$53</f>
        <v>EnergyWave, Inc.</v>
      </c>
      <c r="D1616" s="24" t="str">
        <f aca="false">Monthly!$C$53</f>
        <v>G&amp;A</v>
      </c>
      <c r="E1616" s="24" t="str">
        <f aca="false">Monthly!$D$53</f>
        <v>Office</v>
      </c>
      <c r="F1616" s="24" t="str">
        <f aca="false">Monthly!$A$53</f>
        <v>Office equipment &amp; IT hardware</v>
      </c>
      <c r="G1616" s="20" t="n">
        <f aca="false">Monthly!AJ$53</f>
        <v>0</v>
      </c>
      <c r="H1616" s="24" t="str">
        <f aca="false">ScenarioName</f>
        <v>Base</v>
      </c>
    </row>
    <row r="1617" customFormat="false" ht="15" hidden="false" customHeight="false" outlineLevel="0" collapsed="false">
      <c r="A1617" s="8" t="n">
        <v>32</v>
      </c>
      <c r="B1617" s="39" t="n">
        <f aca="false">EDATE(StartDate,A1617-1)</f>
        <v>47331</v>
      </c>
      <c r="C1617" s="24" t="str">
        <f aca="false">Monthly!$B$53</f>
        <v>EnergyWave, Inc.</v>
      </c>
      <c r="D1617" s="24" t="str">
        <f aca="false">Monthly!$C$53</f>
        <v>G&amp;A</v>
      </c>
      <c r="E1617" s="24" t="str">
        <f aca="false">Monthly!$D$53</f>
        <v>Office</v>
      </c>
      <c r="F1617" s="24" t="str">
        <f aca="false">Monthly!$A$53</f>
        <v>Office equipment &amp; IT hardware</v>
      </c>
      <c r="G1617" s="20" t="n">
        <f aca="false">Monthly!AK$53</f>
        <v>0</v>
      </c>
      <c r="H1617" s="24" t="str">
        <f aca="false">ScenarioName</f>
        <v>Base</v>
      </c>
    </row>
    <row r="1618" customFormat="false" ht="15" hidden="false" customHeight="false" outlineLevel="0" collapsed="false">
      <c r="A1618" s="8" t="n">
        <v>33</v>
      </c>
      <c r="B1618" s="39" t="n">
        <f aca="false">EDATE(StartDate,A1618-1)</f>
        <v>47362</v>
      </c>
      <c r="C1618" s="24" t="str">
        <f aca="false">Monthly!$B$53</f>
        <v>EnergyWave, Inc.</v>
      </c>
      <c r="D1618" s="24" t="str">
        <f aca="false">Monthly!$C$53</f>
        <v>G&amp;A</v>
      </c>
      <c r="E1618" s="24" t="str">
        <f aca="false">Monthly!$D$53</f>
        <v>Office</v>
      </c>
      <c r="F1618" s="24" t="str">
        <f aca="false">Monthly!$A$53</f>
        <v>Office equipment &amp; IT hardware</v>
      </c>
      <c r="G1618" s="20" t="n">
        <f aca="false">Monthly!AL$53</f>
        <v>0</v>
      </c>
      <c r="H1618" s="24" t="str">
        <f aca="false">ScenarioName</f>
        <v>Base</v>
      </c>
    </row>
    <row r="1619" customFormat="false" ht="15" hidden="false" customHeight="false" outlineLevel="0" collapsed="false">
      <c r="A1619" s="8" t="n">
        <v>34</v>
      </c>
      <c r="B1619" s="39" t="n">
        <f aca="false">EDATE(StartDate,A1619-1)</f>
        <v>47392</v>
      </c>
      <c r="C1619" s="24" t="str">
        <f aca="false">Monthly!$B$53</f>
        <v>EnergyWave, Inc.</v>
      </c>
      <c r="D1619" s="24" t="str">
        <f aca="false">Monthly!$C$53</f>
        <v>G&amp;A</v>
      </c>
      <c r="E1619" s="24" t="str">
        <f aca="false">Monthly!$D$53</f>
        <v>Office</v>
      </c>
      <c r="F1619" s="24" t="str">
        <f aca="false">Monthly!$A$53</f>
        <v>Office equipment &amp; IT hardware</v>
      </c>
      <c r="G1619" s="20" t="n">
        <f aca="false">Monthly!AM$53</f>
        <v>0</v>
      </c>
      <c r="H1619" s="24" t="str">
        <f aca="false">ScenarioName</f>
        <v>Base</v>
      </c>
    </row>
    <row r="1620" customFormat="false" ht="15" hidden="false" customHeight="false" outlineLevel="0" collapsed="false">
      <c r="A1620" s="8" t="n">
        <v>35</v>
      </c>
      <c r="B1620" s="39" t="n">
        <f aca="false">EDATE(StartDate,A1620-1)</f>
        <v>47423</v>
      </c>
      <c r="C1620" s="24" t="str">
        <f aca="false">Monthly!$B$53</f>
        <v>EnergyWave, Inc.</v>
      </c>
      <c r="D1620" s="24" t="str">
        <f aca="false">Monthly!$C$53</f>
        <v>G&amp;A</v>
      </c>
      <c r="E1620" s="24" t="str">
        <f aca="false">Monthly!$D$53</f>
        <v>Office</v>
      </c>
      <c r="F1620" s="24" t="str">
        <f aca="false">Monthly!$A$53</f>
        <v>Office equipment &amp; IT hardware</v>
      </c>
      <c r="G1620" s="20" t="n">
        <f aca="false">Monthly!AN$53</f>
        <v>0</v>
      </c>
      <c r="H1620" s="24" t="str">
        <f aca="false">ScenarioName</f>
        <v>Base</v>
      </c>
    </row>
    <row r="1621" customFormat="false" ht="15" hidden="false" customHeight="false" outlineLevel="0" collapsed="false">
      <c r="A1621" s="8" t="n">
        <v>36</v>
      </c>
      <c r="B1621" s="39" t="n">
        <f aca="false">EDATE(StartDate,A1621-1)</f>
        <v>47453</v>
      </c>
      <c r="C1621" s="24" t="str">
        <f aca="false">Monthly!$B$53</f>
        <v>EnergyWave, Inc.</v>
      </c>
      <c r="D1621" s="24" t="str">
        <f aca="false">Monthly!$C$53</f>
        <v>G&amp;A</v>
      </c>
      <c r="E1621" s="24" t="str">
        <f aca="false">Monthly!$D$53</f>
        <v>Office</v>
      </c>
      <c r="F1621" s="24" t="str">
        <f aca="false">Monthly!$A$53</f>
        <v>Office equipment &amp; IT hardware</v>
      </c>
      <c r="G1621" s="20" t="n">
        <f aca="false">Monthly!AO$53</f>
        <v>0</v>
      </c>
      <c r="H1621" s="24" t="str">
        <f aca="false">ScenarioName</f>
        <v>Base</v>
      </c>
    </row>
    <row r="1622" customFormat="false" ht="15" hidden="false" customHeight="false" outlineLevel="0" collapsed="false">
      <c r="A1622" s="8" t="n">
        <v>1</v>
      </c>
      <c r="B1622" s="39" t="n">
        <f aca="false">EDATE(StartDate,A1622-1)</f>
        <v>46388</v>
      </c>
      <c r="C1622" s="24" t="str">
        <f aca="false">Monthly!$B$54</f>
        <v>EnergyWave, Inc.</v>
      </c>
      <c r="D1622" s="24" t="str">
        <f aca="false">Monthly!$C$54</f>
        <v>Intercompany</v>
      </c>
      <c r="E1622" s="24" t="str">
        <f aca="false">Monthly!$D$54</f>
        <v>Affiliates</v>
      </c>
      <c r="F1622" s="24" t="str">
        <f aca="false">Monthly!$A$54</f>
        <v>Intercompany services to/from GovThink Institute &amp; pinnacle.blog (arms-length)</v>
      </c>
      <c r="G1622" s="20" t="n">
        <f aca="false">Monthly!F$54</f>
        <v>0</v>
      </c>
      <c r="H1622" s="24" t="str">
        <f aca="false">ScenarioName</f>
        <v>Base</v>
      </c>
    </row>
    <row r="1623" customFormat="false" ht="15" hidden="false" customHeight="false" outlineLevel="0" collapsed="false">
      <c r="A1623" s="8" t="n">
        <v>2</v>
      </c>
      <c r="B1623" s="39" t="n">
        <f aca="false">EDATE(StartDate,A1623-1)</f>
        <v>46419</v>
      </c>
      <c r="C1623" s="24" t="str">
        <f aca="false">Monthly!$B$54</f>
        <v>EnergyWave, Inc.</v>
      </c>
      <c r="D1623" s="24" t="str">
        <f aca="false">Monthly!$C$54</f>
        <v>Intercompany</v>
      </c>
      <c r="E1623" s="24" t="str">
        <f aca="false">Monthly!$D$54</f>
        <v>Affiliates</v>
      </c>
      <c r="F1623" s="24" t="str">
        <f aca="false">Monthly!$A$54</f>
        <v>Intercompany services to/from GovThink Institute &amp; pinnacle.blog (arms-length)</v>
      </c>
      <c r="G1623" s="20" t="n">
        <f aca="false">Monthly!G$54</f>
        <v>0</v>
      </c>
      <c r="H1623" s="24" t="str">
        <f aca="false">ScenarioName</f>
        <v>Base</v>
      </c>
    </row>
    <row r="1624" customFormat="false" ht="15" hidden="false" customHeight="false" outlineLevel="0" collapsed="false">
      <c r="A1624" s="8" t="n">
        <v>3</v>
      </c>
      <c r="B1624" s="39" t="n">
        <f aca="false">EDATE(StartDate,A1624-1)</f>
        <v>46447</v>
      </c>
      <c r="C1624" s="24" t="str">
        <f aca="false">Monthly!$B$54</f>
        <v>EnergyWave, Inc.</v>
      </c>
      <c r="D1624" s="24" t="str">
        <f aca="false">Monthly!$C$54</f>
        <v>Intercompany</v>
      </c>
      <c r="E1624" s="24" t="str">
        <f aca="false">Monthly!$D$54</f>
        <v>Affiliates</v>
      </c>
      <c r="F1624" s="24" t="str">
        <f aca="false">Monthly!$A$54</f>
        <v>Intercompany services to/from GovThink Institute &amp; pinnacle.blog (arms-length)</v>
      </c>
      <c r="G1624" s="20" t="n">
        <f aca="false">Monthly!H$54</f>
        <v>0</v>
      </c>
      <c r="H1624" s="24" t="str">
        <f aca="false">ScenarioName</f>
        <v>Base</v>
      </c>
    </row>
    <row r="1625" customFormat="false" ht="15" hidden="false" customHeight="false" outlineLevel="0" collapsed="false">
      <c r="A1625" s="8" t="n">
        <v>4</v>
      </c>
      <c r="B1625" s="39" t="n">
        <f aca="false">EDATE(StartDate,A1625-1)</f>
        <v>46478</v>
      </c>
      <c r="C1625" s="24" t="str">
        <f aca="false">Monthly!$B$54</f>
        <v>EnergyWave, Inc.</v>
      </c>
      <c r="D1625" s="24" t="str">
        <f aca="false">Monthly!$C$54</f>
        <v>Intercompany</v>
      </c>
      <c r="E1625" s="24" t="str">
        <f aca="false">Monthly!$D$54</f>
        <v>Affiliates</v>
      </c>
      <c r="F1625" s="24" t="str">
        <f aca="false">Monthly!$A$54</f>
        <v>Intercompany services to/from GovThink Institute &amp; pinnacle.blog (arms-length)</v>
      </c>
      <c r="G1625" s="20" t="n">
        <f aca="false">Monthly!I$54</f>
        <v>0</v>
      </c>
      <c r="H1625" s="24" t="str">
        <f aca="false">ScenarioName</f>
        <v>Base</v>
      </c>
    </row>
    <row r="1626" customFormat="false" ht="15" hidden="false" customHeight="false" outlineLevel="0" collapsed="false">
      <c r="A1626" s="8" t="n">
        <v>5</v>
      </c>
      <c r="B1626" s="39" t="n">
        <f aca="false">EDATE(StartDate,A1626-1)</f>
        <v>46508</v>
      </c>
      <c r="C1626" s="24" t="str">
        <f aca="false">Monthly!$B$54</f>
        <v>EnergyWave, Inc.</v>
      </c>
      <c r="D1626" s="24" t="str">
        <f aca="false">Monthly!$C$54</f>
        <v>Intercompany</v>
      </c>
      <c r="E1626" s="24" t="str">
        <f aca="false">Monthly!$D$54</f>
        <v>Affiliates</v>
      </c>
      <c r="F1626" s="24" t="str">
        <f aca="false">Monthly!$A$54</f>
        <v>Intercompany services to/from GovThink Institute &amp; pinnacle.blog (arms-length)</v>
      </c>
      <c r="G1626" s="20" t="n">
        <f aca="false">Monthly!J$54</f>
        <v>0</v>
      </c>
      <c r="H1626" s="24" t="str">
        <f aca="false">ScenarioName</f>
        <v>Base</v>
      </c>
    </row>
    <row r="1627" customFormat="false" ht="15" hidden="false" customHeight="false" outlineLevel="0" collapsed="false">
      <c r="A1627" s="8" t="n">
        <v>6</v>
      </c>
      <c r="B1627" s="39" t="n">
        <f aca="false">EDATE(StartDate,A1627-1)</f>
        <v>46539</v>
      </c>
      <c r="C1627" s="24" t="str">
        <f aca="false">Monthly!$B$54</f>
        <v>EnergyWave, Inc.</v>
      </c>
      <c r="D1627" s="24" t="str">
        <f aca="false">Monthly!$C$54</f>
        <v>Intercompany</v>
      </c>
      <c r="E1627" s="24" t="str">
        <f aca="false">Monthly!$D$54</f>
        <v>Affiliates</v>
      </c>
      <c r="F1627" s="24" t="str">
        <f aca="false">Monthly!$A$54</f>
        <v>Intercompany services to/from GovThink Institute &amp; pinnacle.blog (arms-length)</v>
      </c>
      <c r="G1627" s="20" t="n">
        <f aca="false">Monthly!K$54</f>
        <v>0</v>
      </c>
      <c r="H1627" s="24" t="str">
        <f aca="false">ScenarioName</f>
        <v>Base</v>
      </c>
    </row>
    <row r="1628" customFormat="false" ht="15" hidden="false" customHeight="false" outlineLevel="0" collapsed="false">
      <c r="A1628" s="8" t="n">
        <v>7</v>
      </c>
      <c r="B1628" s="39" t="n">
        <f aca="false">EDATE(StartDate,A1628-1)</f>
        <v>46569</v>
      </c>
      <c r="C1628" s="24" t="str">
        <f aca="false">Monthly!$B$54</f>
        <v>EnergyWave, Inc.</v>
      </c>
      <c r="D1628" s="24" t="str">
        <f aca="false">Monthly!$C$54</f>
        <v>Intercompany</v>
      </c>
      <c r="E1628" s="24" t="str">
        <f aca="false">Monthly!$D$54</f>
        <v>Affiliates</v>
      </c>
      <c r="F1628" s="24" t="str">
        <f aca="false">Monthly!$A$54</f>
        <v>Intercompany services to/from GovThink Institute &amp; pinnacle.blog (arms-length)</v>
      </c>
      <c r="G1628" s="20" t="n">
        <f aca="false">Monthly!L$54</f>
        <v>0</v>
      </c>
      <c r="H1628" s="24" t="str">
        <f aca="false">ScenarioName</f>
        <v>Base</v>
      </c>
    </row>
    <row r="1629" customFormat="false" ht="15" hidden="false" customHeight="false" outlineLevel="0" collapsed="false">
      <c r="A1629" s="8" t="n">
        <v>8</v>
      </c>
      <c r="B1629" s="39" t="n">
        <f aca="false">EDATE(StartDate,A1629-1)</f>
        <v>46600</v>
      </c>
      <c r="C1629" s="24" t="str">
        <f aca="false">Monthly!$B$54</f>
        <v>EnergyWave, Inc.</v>
      </c>
      <c r="D1629" s="24" t="str">
        <f aca="false">Monthly!$C$54</f>
        <v>Intercompany</v>
      </c>
      <c r="E1629" s="24" t="str">
        <f aca="false">Monthly!$D$54</f>
        <v>Affiliates</v>
      </c>
      <c r="F1629" s="24" t="str">
        <f aca="false">Monthly!$A$54</f>
        <v>Intercompany services to/from GovThink Institute &amp; pinnacle.blog (arms-length)</v>
      </c>
      <c r="G1629" s="20" t="n">
        <f aca="false">Monthly!M$54</f>
        <v>0</v>
      </c>
      <c r="H1629" s="24" t="str">
        <f aca="false">ScenarioName</f>
        <v>Base</v>
      </c>
    </row>
    <row r="1630" customFormat="false" ht="15" hidden="false" customHeight="false" outlineLevel="0" collapsed="false">
      <c r="A1630" s="8" t="n">
        <v>9</v>
      </c>
      <c r="B1630" s="39" t="n">
        <f aca="false">EDATE(StartDate,A1630-1)</f>
        <v>46631</v>
      </c>
      <c r="C1630" s="24" t="str">
        <f aca="false">Monthly!$B$54</f>
        <v>EnergyWave, Inc.</v>
      </c>
      <c r="D1630" s="24" t="str">
        <f aca="false">Monthly!$C$54</f>
        <v>Intercompany</v>
      </c>
      <c r="E1630" s="24" t="str">
        <f aca="false">Monthly!$D$54</f>
        <v>Affiliates</v>
      </c>
      <c r="F1630" s="24" t="str">
        <f aca="false">Monthly!$A$54</f>
        <v>Intercompany services to/from GovThink Institute &amp; pinnacle.blog (arms-length)</v>
      </c>
      <c r="G1630" s="20" t="n">
        <f aca="false">Monthly!N$54</f>
        <v>0</v>
      </c>
      <c r="H1630" s="24" t="str">
        <f aca="false">ScenarioName</f>
        <v>Base</v>
      </c>
    </row>
    <row r="1631" customFormat="false" ht="15" hidden="false" customHeight="false" outlineLevel="0" collapsed="false">
      <c r="A1631" s="8" t="n">
        <v>10</v>
      </c>
      <c r="B1631" s="39" t="n">
        <f aca="false">EDATE(StartDate,A1631-1)</f>
        <v>46661</v>
      </c>
      <c r="C1631" s="24" t="str">
        <f aca="false">Monthly!$B$54</f>
        <v>EnergyWave, Inc.</v>
      </c>
      <c r="D1631" s="24" t="str">
        <f aca="false">Monthly!$C$54</f>
        <v>Intercompany</v>
      </c>
      <c r="E1631" s="24" t="str">
        <f aca="false">Monthly!$D$54</f>
        <v>Affiliates</v>
      </c>
      <c r="F1631" s="24" t="str">
        <f aca="false">Monthly!$A$54</f>
        <v>Intercompany services to/from GovThink Institute &amp; pinnacle.blog (arms-length)</v>
      </c>
      <c r="G1631" s="20" t="n">
        <f aca="false">Monthly!O$54</f>
        <v>0</v>
      </c>
      <c r="H1631" s="24" t="str">
        <f aca="false">ScenarioName</f>
        <v>Base</v>
      </c>
    </row>
    <row r="1632" customFormat="false" ht="15" hidden="false" customHeight="false" outlineLevel="0" collapsed="false">
      <c r="A1632" s="8" t="n">
        <v>11</v>
      </c>
      <c r="B1632" s="39" t="n">
        <f aca="false">EDATE(StartDate,A1632-1)</f>
        <v>46692</v>
      </c>
      <c r="C1632" s="24" t="str">
        <f aca="false">Monthly!$B$54</f>
        <v>EnergyWave, Inc.</v>
      </c>
      <c r="D1632" s="24" t="str">
        <f aca="false">Monthly!$C$54</f>
        <v>Intercompany</v>
      </c>
      <c r="E1632" s="24" t="str">
        <f aca="false">Monthly!$D$54</f>
        <v>Affiliates</v>
      </c>
      <c r="F1632" s="24" t="str">
        <f aca="false">Monthly!$A$54</f>
        <v>Intercompany services to/from GovThink Institute &amp; pinnacle.blog (arms-length)</v>
      </c>
      <c r="G1632" s="20" t="n">
        <f aca="false">Monthly!P$54</f>
        <v>0</v>
      </c>
      <c r="H1632" s="24" t="str">
        <f aca="false">ScenarioName</f>
        <v>Base</v>
      </c>
    </row>
    <row r="1633" customFormat="false" ht="15" hidden="false" customHeight="false" outlineLevel="0" collapsed="false">
      <c r="A1633" s="8" t="n">
        <v>12</v>
      </c>
      <c r="B1633" s="39" t="n">
        <f aca="false">EDATE(StartDate,A1633-1)</f>
        <v>46722</v>
      </c>
      <c r="C1633" s="24" t="str">
        <f aca="false">Monthly!$B$54</f>
        <v>EnergyWave, Inc.</v>
      </c>
      <c r="D1633" s="24" t="str">
        <f aca="false">Monthly!$C$54</f>
        <v>Intercompany</v>
      </c>
      <c r="E1633" s="24" t="str">
        <f aca="false">Monthly!$D$54</f>
        <v>Affiliates</v>
      </c>
      <c r="F1633" s="24" t="str">
        <f aca="false">Monthly!$A$54</f>
        <v>Intercompany services to/from GovThink Institute &amp; pinnacle.blog (arms-length)</v>
      </c>
      <c r="G1633" s="20" t="n">
        <f aca="false">Monthly!Q$54</f>
        <v>0</v>
      </c>
      <c r="H1633" s="24" t="str">
        <f aca="false">ScenarioName</f>
        <v>Base</v>
      </c>
    </row>
    <row r="1634" customFormat="false" ht="15" hidden="false" customHeight="false" outlineLevel="0" collapsed="false">
      <c r="A1634" s="8" t="n">
        <v>13</v>
      </c>
      <c r="B1634" s="39" t="n">
        <f aca="false">EDATE(StartDate,A1634-1)</f>
        <v>46753</v>
      </c>
      <c r="C1634" s="24" t="str">
        <f aca="false">Monthly!$B$54</f>
        <v>EnergyWave, Inc.</v>
      </c>
      <c r="D1634" s="24" t="str">
        <f aca="false">Monthly!$C$54</f>
        <v>Intercompany</v>
      </c>
      <c r="E1634" s="24" t="str">
        <f aca="false">Monthly!$D$54</f>
        <v>Affiliates</v>
      </c>
      <c r="F1634" s="24" t="str">
        <f aca="false">Monthly!$A$54</f>
        <v>Intercompany services to/from GovThink Institute &amp; pinnacle.blog (arms-length)</v>
      </c>
      <c r="G1634" s="20" t="n">
        <f aca="false">Monthly!R$54</f>
        <v>0</v>
      </c>
      <c r="H1634" s="24" t="str">
        <f aca="false">ScenarioName</f>
        <v>Base</v>
      </c>
    </row>
    <row r="1635" customFormat="false" ht="15" hidden="false" customHeight="false" outlineLevel="0" collapsed="false">
      <c r="A1635" s="8" t="n">
        <v>14</v>
      </c>
      <c r="B1635" s="39" t="n">
        <f aca="false">EDATE(StartDate,A1635-1)</f>
        <v>46784</v>
      </c>
      <c r="C1635" s="24" t="str">
        <f aca="false">Monthly!$B$54</f>
        <v>EnergyWave, Inc.</v>
      </c>
      <c r="D1635" s="24" t="str">
        <f aca="false">Monthly!$C$54</f>
        <v>Intercompany</v>
      </c>
      <c r="E1635" s="24" t="str">
        <f aca="false">Monthly!$D$54</f>
        <v>Affiliates</v>
      </c>
      <c r="F1635" s="24" t="str">
        <f aca="false">Monthly!$A$54</f>
        <v>Intercompany services to/from GovThink Institute &amp; pinnacle.blog (arms-length)</v>
      </c>
      <c r="G1635" s="20" t="n">
        <f aca="false">Monthly!S$54</f>
        <v>0</v>
      </c>
      <c r="H1635" s="24" t="str">
        <f aca="false">ScenarioName</f>
        <v>Base</v>
      </c>
    </row>
    <row r="1636" customFormat="false" ht="15" hidden="false" customHeight="false" outlineLevel="0" collapsed="false">
      <c r="A1636" s="8" t="n">
        <v>15</v>
      </c>
      <c r="B1636" s="39" t="n">
        <f aca="false">EDATE(StartDate,A1636-1)</f>
        <v>46813</v>
      </c>
      <c r="C1636" s="24" t="str">
        <f aca="false">Monthly!$B$54</f>
        <v>EnergyWave, Inc.</v>
      </c>
      <c r="D1636" s="24" t="str">
        <f aca="false">Monthly!$C$54</f>
        <v>Intercompany</v>
      </c>
      <c r="E1636" s="24" t="str">
        <f aca="false">Monthly!$D$54</f>
        <v>Affiliates</v>
      </c>
      <c r="F1636" s="24" t="str">
        <f aca="false">Monthly!$A$54</f>
        <v>Intercompany services to/from GovThink Institute &amp; pinnacle.blog (arms-length)</v>
      </c>
      <c r="G1636" s="20" t="n">
        <f aca="false">Monthly!T$54</f>
        <v>0</v>
      </c>
      <c r="H1636" s="24" t="str">
        <f aca="false">ScenarioName</f>
        <v>Base</v>
      </c>
    </row>
    <row r="1637" customFormat="false" ht="15" hidden="false" customHeight="false" outlineLevel="0" collapsed="false">
      <c r="A1637" s="8" t="n">
        <v>16</v>
      </c>
      <c r="B1637" s="39" t="n">
        <f aca="false">EDATE(StartDate,A1637-1)</f>
        <v>46844</v>
      </c>
      <c r="C1637" s="24" t="str">
        <f aca="false">Monthly!$B$54</f>
        <v>EnergyWave, Inc.</v>
      </c>
      <c r="D1637" s="24" t="str">
        <f aca="false">Monthly!$C$54</f>
        <v>Intercompany</v>
      </c>
      <c r="E1637" s="24" t="str">
        <f aca="false">Monthly!$D$54</f>
        <v>Affiliates</v>
      </c>
      <c r="F1637" s="24" t="str">
        <f aca="false">Monthly!$A$54</f>
        <v>Intercompany services to/from GovThink Institute &amp; pinnacle.blog (arms-length)</v>
      </c>
      <c r="G1637" s="20" t="n">
        <f aca="false">Monthly!U$54</f>
        <v>0</v>
      </c>
      <c r="H1637" s="24" t="str">
        <f aca="false">ScenarioName</f>
        <v>Base</v>
      </c>
    </row>
    <row r="1638" customFormat="false" ht="15" hidden="false" customHeight="false" outlineLevel="0" collapsed="false">
      <c r="A1638" s="8" t="n">
        <v>17</v>
      </c>
      <c r="B1638" s="39" t="n">
        <f aca="false">EDATE(StartDate,A1638-1)</f>
        <v>46874</v>
      </c>
      <c r="C1638" s="24" t="str">
        <f aca="false">Monthly!$B$54</f>
        <v>EnergyWave, Inc.</v>
      </c>
      <c r="D1638" s="24" t="str">
        <f aca="false">Monthly!$C$54</f>
        <v>Intercompany</v>
      </c>
      <c r="E1638" s="24" t="str">
        <f aca="false">Monthly!$D$54</f>
        <v>Affiliates</v>
      </c>
      <c r="F1638" s="24" t="str">
        <f aca="false">Monthly!$A$54</f>
        <v>Intercompany services to/from GovThink Institute &amp; pinnacle.blog (arms-length)</v>
      </c>
      <c r="G1638" s="20" t="n">
        <f aca="false">Monthly!V$54</f>
        <v>0</v>
      </c>
      <c r="H1638" s="24" t="str">
        <f aca="false">ScenarioName</f>
        <v>Base</v>
      </c>
    </row>
    <row r="1639" customFormat="false" ht="15" hidden="false" customHeight="false" outlineLevel="0" collapsed="false">
      <c r="A1639" s="8" t="n">
        <v>18</v>
      </c>
      <c r="B1639" s="39" t="n">
        <f aca="false">EDATE(StartDate,A1639-1)</f>
        <v>46905</v>
      </c>
      <c r="C1639" s="24" t="str">
        <f aca="false">Monthly!$B$54</f>
        <v>EnergyWave, Inc.</v>
      </c>
      <c r="D1639" s="24" t="str">
        <f aca="false">Monthly!$C$54</f>
        <v>Intercompany</v>
      </c>
      <c r="E1639" s="24" t="str">
        <f aca="false">Monthly!$D$54</f>
        <v>Affiliates</v>
      </c>
      <c r="F1639" s="24" t="str">
        <f aca="false">Monthly!$A$54</f>
        <v>Intercompany services to/from GovThink Institute &amp; pinnacle.blog (arms-length)</v>
      </c>
      <c r="G1639" s="20" t="n">
        <f aca="false">Monthly!W$54</f>
        <v>0</v>
      </c>
      <c r="H1639" s="24" t="str">
        <f aca="false">ScenarioName</f>
        <v>Base</v>
      </c>
    </row>
    <row r="1640" customFormat="false" ht="15" hidden="false" customHeight="false" outlineLevel="0" collapsed="false">
      <c r="A1640" s="8" t="n">
        <v>19</v>
      </c>
      <c r="B1640" s="39" t="n">
        <f aca="false">EDATE(StartDate,A1640-1)</f>
        <v>46935</v>
      </c>
      <c r="C1640" s="24" t="str">
        <f aca="false">Monthly!$B$54</f>
        <v>EnergyWave, Inc.</v>
      </c>
      <c r="D1640" s="24" t="str">
        <f aca="false">Monthly!$C$54</f>
        <v>Intercompany</v>
      </c>
      <c r="E1640" s="24" t="str">
        <f aca="false">Monthly!$D$54</f>
        <v>Affiliates</v>
      </c>
      <c r="F1640" s="24" t="str">
        <f aca="false">Monthly!$A$54</f>
        <v>Intercompany services to/from GovThink Institute &amp; pinnacle.blog (arms-length)</v>
      </c>
      <c r="G1640" s="20" t="n">
        <f aca="false">Monthly!X$54</f>
        <v>0</v>
      </c>
      <c r="H1640" s="24" t="str">
        <f aca="false">ScenarioName</f>
        <v>Base</v>
      </c>
    </row>
    <row r="1641" customFormat="false" ht="15" hidden="false" customHeight="false" outlineLevel="0" collapsed="false">
      <c r="A1641" s="8" t="n">
        <v>20</v>
      </c>
      <c r="B1641" s="39" t="n">
        <f aca="false">EDATE(StartDate,A1641-1)</f>
        <v>46966</v>
      </c>
      <c r="C1641" s="24" t="str">
        <f aca="false">Monthly!$B$54</f>
        <v>EnergyWave, Inc.</v>
      </c>
      <c r="D1641" s="24" t="str">
        <f aca="false">Monthly!$C$54</f>
        <v>Intercompany</v>
      </c>
      <c r="E1641" s="24" t="str">
        <f aca="false">Monthly!$D$54</f>
        <v>Affiliates</v>
      </c>
      <c r="F1641" s="24" t="str">
        <f aca="false">Monthly!$A$54</f>
        <v>Intercompany services to/from GovThink Institute &amp; pinnacle.blog (arms-length)</v>
      </c>
      <c r="G1641" s="20" t="n">
        <f aca="false">Monthly!Y$54</f>
        <v>0</v>
      </c>
      <c r="H1641" s="24" t="str">
        <f aca="false">ScenarioName</f>
        <v>Base</v>
      </c>
    </row>
    <row r="1642" customFormat="false" ht="15" hidden="false" customHeight="false" outlineLevel="0" collapsed="false">
      <c r="A1642" s="8" t="n">
        <v>21</v>
      </c>
      <c r="B1642" s="39" t="n">
        <f aca="false">EDATE(StartDate,A1642-1)</f>
        <v>46997</v>
      </c>
      <c r="C1642" s="24" t="str">
        <f aca="false">Monthly!$B$54</f>
        <v>EnergyWave, Inc.</v>
      </c>
      <c r="D1642" s="24" t="str">
        <f aca="false">Monthly!$C$54</f>
        <v>Intercompany</v>
      </c>
      <c r="E1642" s="24" t="str">
        <f aca="false">Monthly!$D$54</f>
        <v>Affiliates</v>
      </c>
      <c r="F1642" s="24" t="str">
        <f aca="false">Monthly!$A$54</f>
        <v>Intercompany services to/from GovThink Institute &amp; pinnacle.blog (arms-length)</v>
      </c>
      <c r="G1642" s="20" t="n">
        <f aca="false">Monthly!Z$54</f>
        <v>0</v>
      </c>
      <c r="H1642" s="24" t="str">
        <f aca="false">ScenarioName</f>
        <v>Base</v>
      </c>
    </row>
    <row r="1643" customFormat="false" ht="15" hidden="false" customHeight="false" outlineLevel="0" collapsed="false">
      <c r="A1643" s="8" t="n">
        <v>22</v>
      </c>
      <c r="B1643" s="39" t="n">
        <f aca="false">EDATE(StartDate,A1643-1)</f>
        <v>47027</v>
      </c>
      <c r="C1643" s="24" t="str">
        <f aca="false">Monthly!$B$54</f>
        <v>EnergyWave, Inc.</v>
      </c>
      <c r="D1643" s="24" t="str">
        <f aca="false">Monthly!$C$54</f>
        <v>Intercompany</v>
      </c>
      <c r="E1643" s="24" t="str">
        <f aca="false">Monthly!$D$54</f>
        <v>Affiliates</v>
      </c>
      <c r="F1643" s="24" t="str">
        <f aca="false">Monthly!$A$54</f>
        <v>Intercompany services to/from GovThink Institute &amp; pinnacle.blog (arms-length)</v>
      </c>
      <c r="G1643" s="20" t="n">
        <f aca="false">Monthly!AA$54</f>
        <v>0</v>
      </c>
      <c r="H1643" s="24" t="str">
        <f aca="false">ScenarioName</f>
        <v>Base</v>
      </c>
    </row>
    <row r="1644" customFormat="false" ht="15" hidden="false" customHeight="false" outlineLevel="0" collapsed="false">
      <c r="A1644" s="8" t="n">
        <v>23</v>
      </c>
      <c r="B1644" s="39" t="n">
        <f aca="false">EDATE(StartDate,A1644-1)</f>
        <v>47058</v>
      </c>
      <c r="C1644" s="24" t="str">
        <f aca="false">Monthly!$B$54</f>
        <v>EnergyWave, Inc.</v>
      </c>
      <c r="D1644" s="24" t="str">
        <f aca="false">Monthly!$C$54</f>
        <v>Intercompany</v>
      </c>
      <c r="E1644" s="24" t="str">
        <f aca="false">Monthly!$D$54</f>
        <v>Affiliates</v>
      </c>
      <c r="F1644" s="24" t="str">
        <f aca="false">Monthly!$A$54</f>
        <v>Intercompany services to/from GovThink Institute &amp; pinnacle.blog (arms-length)</v>
      </c>
      <c r="G1644" s="20" t="n">
        <f aca="false">Monthly!AB$54</f>
        <v>0</v>
      </c>
      <c r="H1644" s="24" t="str">
        <f aca="false">ScenarioName</f>
        <v>Base</v>
      </c>
    </row>
    <row r="1645" customFormat="false" ht="15" hidden="false" customHeight="false" outlineLevel="0" collapsed="false">
      <c r="A1645" s="8" t="n">
        <v>24</v>
      </c>
      <c r="B1645" s="39" t="n">
        <f aca="false">EDATE(StartDate,A1645-1)</f>
        <v>47088</v>
      </c>
      <c r="C1645" s="24" t="str">
        <f aca="false">Monthly!$B$54</f>
        <v>EnergyWave, Inc.</v>
      </c>
      <c r="D1645" s="24" t="str">
        <f aca="false">Monthly!$C$54</f>
        <v>Intercompany</v>
      </c>
      <c r="E1645" s="24" t="str">
        <f aca="false">Monthly!$D$54</f>
        <v>Affiliates</v>
      </c>
      <c r="F1645" s="24" t="str">
        <f aca="false">Monthly!$A$54</f>
        <v>Intercompany services to/from GovThink Institute &amp; pinnacle.blog (arms-length)</v>
      </c>
      <c r="G1645" s="20" t="n">
        <f aca="false">Monthly!AC$54</f>
        <v>0</v>
      </c>
      <c r="H1645" s="24" t="str">
        <f aca="false">ScenarioName</f>
        <v>Base</v>
      </c>
    </row>
    <row r="1646" customFormat="false" ht="15" hidden="false" customHeight="false" outlineLevel="0" collapsed="false">
      <c r="A1646" s="8" t="n">
        <v>25</v>
      </c>
      <c r="B1646" s="39" t="n">
        <f aca="false">EDATE(StartDate,A1646-1)</f>
        <v>47119</v>
      </c>
      <c r="C1646" s="24" t="str">
        <f aca="false">Monthly!$B$54</f>
        <v>EnergyWave, Inc.</v>
      </c>
      <c r="D1646" s="24" t="str">
        <f aca="false">Monthly!$C$54</f>
        <v>Intercompany</v>
      </c>
      <c r="E1646" s="24" t="str">
        <f aca="false">Monthly!$D$54</f>
        <v>Affiliates</v>
      </c>
      <c r="F1646" s="24" t="str">
        <f aca="false">Monthly!$A$54</f>
        <v>Intercompany services to/from GovThink Institute &amp; pinnacle.blog (arms-length)</v>
      </c>
      <c r="G1646" s="20" t="n">
        <f aca="false">Monthly!AD$54</f>
        <v>0</v>
      </c>
      <c r="H1646" s="24" t="str">
        <f aca="false">ScenarioName</f>
        <v>Base</v>
      </c>
    </row>
    <row r="1647" customFormat="false" ht="15" hidden="false" customHeight="false" outlineLevel="0" collapsed="false">
      <c r="A1647" s="8" t="n">
        <v>26</v>
      </c>
      <c r="B1647" s="39" t="n">
        <f aca="false">EDATE(StartDate,A1647-1)</f>
        <v>47150</v>
      </c>
      <c r="C1647" s="24" t="str">
        <f aca="false">Monthly!$B$54</f>
        <v>EnergyWave, Inc.</v>
      </c>
      <c r="D1647" s="24" t="str">
        <f aca="false">Monthly!$C$54</f>
        <v>Intercompany</v>
      </c>
      <c r="E1647" s="24" t="str">
        <f aca="false">Monthly!$D$54</f>
        <v>Affiliates</v>
      </c>
      <c r="F1647" s="24" t="str">
        <f aca="false">Monthly!$A$54</f>
        <v>Intercompany services to/from GovThink Institute &amp; pinnacle.blog (arms-length)</v>
      </c>
      <c r="G1647" s="20" t="n">
        <f aca="false">Monthly!AE$54</f>
        <v>0</v>
      </c>
      <c r="H1647" s="24" t="str">
        <f aca="false">ScenarioName</f>
        <v>Base</v>
      </c>
    </row>
    <row r="1648" customFormat="false" ht="15" hidden="false" customHeight="false" outlineLevel="0" collapsed="false">
      <c r="A1648" s="8" t="n">
        <v>27</v>
      </c>
      <c r="B1648" s="39" t="n">
        <f aca="false">EDATE(StartDate,A1648-1)</f>
        <v>47178</v>
      </c>
      <c r="C1648" s="24" t="str">
        <f aca="false">Monthly!$B$54</f>
        <v>EnergyWave, Inc.</v>
      </c>
      <c r="D1648" s="24" t="str">
        <f aca="false">Monthly!$C$54</f>
        <v>Intercompany</v>
      </c>
      <c r="E1648" s="24" t="str">
        <f aca="false">Monthly!$D$54</f>
        <v>Affiliates</v>
      </c>
      <c r="F1648" s="24" t="str">
        <f aca="false">Monthly!$A$54</f>
        <v>Intercompany services to/from GovThink Institute &amp; pinnacle.blog (arms-length)</v>
      </c>
      <c r="G1648" s="20" t="n">
        <f aca="false">Monthly!AF$54</f>
        <v>0</v>
      </c>
      <c r="H1648" s="24" t="str">
        <f aca="false">ScenarioName</f>
        <v>Base</v>
      </c>
    </row>
    <row r="1649" customFormat="false" ht="15" hidden="false" customHeight="false" outlineLevel="0" collapsed="false">
      <c r="A1649" s="8" t="n">
        <v>28</v>
      </c>
      <c r="B1649" s="39" t="n">
        <f aca="false">EDATE(StartDate,A1649-1)</f>
        <v>47209</v>
      </c>
      <c r="C1649" s="24" t="str">
        <f aca="false">Monthly!$B$54</f>
        <v>EnergyWave, Inc.</v>
      </c>
      <c r="D1649" s="24" t="str">
        <f aca="false">Monthly!$C$54</f>
        <v>Intercompany</v>
      </c>
      <c r="E1649" s="24" t="str">
        <f aca="false">Monthly!$D$54</f>
        <v>Affiliates</v>
      </c>
      <c r="F1649" s="24" t="str">
        <f aca="false">Monthly!$A$54</f>
        <v>Intercompany services to/from GovThink Institute &amp; pinnacle.blog (arms-length)</v>
      </c>
      <c r="G1649" s="20" t="n">
        <f aca="false">Monthly!AG$54</f>
        <v>0</v>
      </c>
      <c r="H1649" s="24" t="str">
        <f aca="false">ScenarioName</f>
        <v>Base</v>
      </c>
    </row>
    <row r="1650" customFormat="false" ht="15" hidden="false" customHeight="false" outlineLevel="0" collapsed="false">
      <c r="A1650" s="8" t="n">
        <v>29</v>
      </c>
      <c r="B1650" s="39" t="n">
        <f aca="false">EDATE(StartDate,A1650-1)</f>
        <v>47239</v>
      </c>
      <c r="C1650" s="24" t="str">
        <f aca="false">Monthly!$B$54</f>
        <v>EnergyWave, Inc.</v>
      </c>
      <c r="D1650" s="24" t="str">
        <f aca="false">Monthly!$C$54</f>
        <v>Intercompany</v>
      </c>
      <c r="E1650" s="24" t="str">
        <f aca="false">Monthly!$D$54</f>
        <v>Affiliates</v>
      </c>
      <c r="F1650" s="24" t="str">
        <f aca="false">Monthly!$A$54</f>
        <v>Intercompany services to/from GovThink Institute &amp; pinnacle.blog (arms-length)</v>
      </c>
      <c r="G1650" s="20" t="n">
        <f aca="false">Monthly!AH$54</f>
        <v>0</v>
      </c>
      <c r="H1650" s="24" t="str">
        <f aca="false">ScenarioName</f>
        <v>Base</v>
      </c>
    </row>
    <row r="1651" customFormat="false" ht="15" hidden="false" customHeight="false" outlineLevel="0" collapsed="false">
      <c r="A1651" s="8" t="n">
        <v>30</v>
      </c>
      <c r="B1651" s="39" t="n">
        <f aca="false">EDATE(StartDate,A1651-1)</f>
        <v>47270</v>
      </c>
      <c r="C1651" s="24" t="str">
        <f aca="false">Monthly!$B$54</f>
        <v>EnergyWave, Inc.</v>
      </c>
      <c r="D1651" s="24" t="str">
        <f aca="false">Monthly!$C$54</f>
        <v>Intercompany</v>
      </c>
      <c r="E1651" s="24" t="str">
        <f aca="false">Monthly!$D$54</f>
        <v>Affiliates</v>
      </c>
      <c r="F1651" s="24" t="str">
        <f aca="false">Monthly!$A$54</f>
        <v>Intercompany services to/from GovThink Institute &amp; pinnacle.blog (arms-length)</v>
      </c>
      <c r="G1651" s="20" t="n">
        <f aca="false">Monthly!AI$54</f>
        <v>0</v>
      </c>
      <c r="H1651" s="24" t="str">
        <f aca="false">ScenarioName</f>
        <v>Base</v>
      </c>
    </row>
    <row r="1652" customFormat="false" ht="15" hidden="false" customHeight="false" outlineLevel="0" collapsed="false">
      <c r="A1652" s="8" t="n">
        <v>31</v>
      </c>
      <c r="B1652" s="39" t="n">
        <f aca="false">EDATE(StartDate,A1652-1)</f>
        <v>47300</v>
      </c>
      <c r="C1652" s="24" t="str">
        <f aca="false">Monthly!$B$54</f>
        <v>EnergyWave, Inc.</v>
      </c>
      <c r="D1652" s="24" t="str">
        <f aca="false">Monthly!$C$54</f>
        <v>Intercompany</v>
      </c>
      <c r="E1652" s="24" t="str">
        <f aca="false">Monthly!$D$54</f>
        <v>Affiliates</v>
      </c>
      <c r="F1652" s="24" t="str">
        <f aca="false">Monthly!$A$54</f>
        <v>Intercompany services to/from GovThink Institute &amp; pinnacle.blog (arms-length)</v>
      </c>
      <c r="G1652" s="20" t="n">
        <f aca="false">Monthly!AJ$54</f>
        <v>0</v>
      </c>
      <c r="H1652" s="24" t="str">
        <f aca="false">ScenarioName</f>
        <v>Base</v>
      </c>
    </row>
    <row r="1653" customFormat="false" ht="15" hidden="false" customHeight="false" outlineLevel="0" collapsed="false">
      <c r="A1653" s="8" t="n">
        <v>32</v>
      </c>
      <c r="B1653" s="39" t="n">
        <f aca="false">EDATE(StartDate,A1653-1)</f>
        <v>47331</v>
      </c>
      <c r="C1653" s="24" t="str">
        <f aca="false">Monthly!$B$54</f>
        <v>EnergyWave, Inc.</v>
      </c>
      <c r="D1653" s="24" t="str">
        <f aca="false">Monthly!$C$54</f>
        <v>Intercompany</v>
      </c>
      <c r="E1653" s="24" t="str">
        <f aca="false">Monthly!$D$54</f>
        <v>Affiliates</v>
      </c>
      <c r="F1653" s="24" t="str">
        <f aca="false">Monthly!$A$54</f>
        <v>Intercompany services to/from GovThink Institute &amp; pinnacle.blog (arms-length)</v>
      </c>
      <c r="G1653" s="20" t="n">
        <f aca="false">Monthly!AK$54</f>
        <v>0</v>
      </c>
      <c r="H1653" s="24" t="str">
        <f aca="false">ScenarioName</f>
        <v>Base</v>
      </c>
    </row>
    <row r="1654" customFormat="false" ht="15" hidden="false" customHeight="false" outlineLevel="0" collapsed="false">
      <c r="A1654" s="8" t="n">
        <v>33</v>
      </c>
      <c r="B1654" s="39" t="n">
        <f aca="false">EDATE(StartDate,A1654-1)</f>
        <v>47362</v>
      </c>
      <c r="C1654" s="24" t="str">
        <f aca="false">Monthly!$B$54</f>
        <v>EnergyWave, Inc.</v>
      </c>
      <c r="D1654" s="24" t="str">
        <f aca="false">Monthly!$C$54</f>
        <v>Intercompany</v>
      </c>
      <c r="E1654" s="24" t="str">
        <f aca="false">Monthly!$D$54</f>
        <v>Affiliates</v>
      </c>
      <c r="F1654" s="24" t="str">
        <f aca="false">Monthly!$A$54</f>
        <v>Intercompany services to/from GovThink Institute &amp; pinnacle.blog (arms-length)</v>
      </c>
      <c r="G1654" s="20" t="n">
        <f aca="false">Monthly!AL$54</f>
        <v>0</v>
      </c>
      <c r="H1654" s="24" t="str">
        <f aca="false">ScenarioName</f>
        <v>Base</v>
      </c>
    </row>
    <row r="1655" customFormat="false" ht="15" hidden="false" customHeight="false" outlineLevel="0" collapsed="false">
      <c r="A1655" s="8" t="n">
        <v>34</v>
      </c>
      <c r="B1655" s="39" t="n">
        <f aca="false">EDATE(StartDate,A1655-1)</f>
        <v>47392</v>
      </c>
      <c r="C1655" s="24" t="str">
        <f aca="false">Monthly!$B$54</f>
        <v>EnergyWave, Inc.</v>
      </c>
      <c r="D1655" s="24" t="str">
        <f aca="false">Monthly!$C$54</f>
        <v>Intercompany</v>
      </c>
      <c r="E1655" s="24" t="str">
        <f aca="false">Monthly!$D$54</f>
        <v>Affiliates</v>
      </c>
      <c r="F1655" s="24" t="str">
        <f aca="false">Monthly!$A$54</f>
        <v>Intercompany services to/from GovThink Institute &amp; pinnacle.blog (arms-length)</v>
      </c>
      <c r="G1655" s="20" t="n">
        <f aca="false">Monthly!AM$54</f>
        <v>0</v>
      </c>
      <c r="H1655" s="24" t="str">
        <f aca="false">ScenarioName</f>
        <v>Base</v>
      </c>
    </row>
    <row r="1656" customFormat="false" ht="15" hidden="false" customHeight="false" outlineLevel="0" collapsed="false">
      <c r="A1656" s="8" t="n">
        <v>35</v>
      </c>
      <c r="B1656" s="39" t="n">
        <f aca="false">EDATE(StartDate,A1656-1)</f>
        <v>47423</v>
      </c>
      <c r="C1656" s="24" t="str">
        <f aca="false">Monthly!$B$54</f>
        <v>EnergyWave, Inc.</v>
      </c>
      <c r="D1656" s="24" t="str">
        <f aca="false">Monthly!$C$54</f>
        <v>Intercompany</v>
      </c>
      <c r="E1656" s="24" t="str">
        <f aca="false">Monthly!$D$54</f>
        <v>Affiliates</v>
      </c>
      <c r="F1656" s="24" t="str">
        <f aca="false">Monthly!$A$54</f>
        <v>Intercompany services to/from GovThink Institute &amp; pinnacle.blog (arms-length)</v>
      </c>
      <c r="G1656" s="20" t="n">
        <f aca="false">Monthly!AN$54</f>
        <v>0</v>
      </c>
      <c r="H1656" s="24" t="str">
        <f aca="false">ScenarioName</f>
        <v>Base</v>
      </c>
    </row>
    <row r="1657" customFormat="false" ht="15" hidden="false" customHeight="false" outlineLevel="0" collapsed="false">
      <c r="A1657" s="8" t="n">
        <v>36</v>
      </c>
      <c r="B1657" s="39" t="n">
        <f aca="false">EDATE(StartDate,A1657-1)</f>
        <v>47453</v>
      </c>
      <c r="C1657" s="24" t="str">
        <f aca="false">Monthly!$B$54</f>
        <v>EnergyWave, Inc.</v>
      </c>
      <c r="D1657" s="24" t="str">
        <f aca="false">Monthly!$C$54</f>
        <v>Intercompany</v>
      </c>
      <c r="E1657" s="24" t="str">
        <f aca="false">Monthly!$D$54</f>
        <v>Affiliates</v>
      </c>
      <c r="F1657" s="24" t="str">
        <f aca="false">Monthly!$A$54</f>
        <v>Intercompany services to/from GovThink Institute &amp; pinnacle.blog (arms-length)</v>
      </c>
      <c r="G1657" s="20" t="n">
        <f aca="false">Monthly!AO$54</f>
        <v>0</v>
      </c>
      <c r="H1657" s="24" t="str">
        <f aca="false">ScenarioName</f>
        <v>Base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48"/>
    <col collapsed="false" customWidth="true" hidden="false" outlineLevel="0" max="8" min="8" style="0" width="20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5" t="s">
        <v>330</v>
      </c>
    </row>
    <row r="2" customFormat="false" ht="15" hidden="false" customHeight="false" outlineLevel="0" collapsed="false">
      <c r="A2" s="6" t="s">
        <v>331</v>
      </c>
    </row>
    <row r="3" customFormat="false" ht="15" hidden="false" customHeight="false" outlineLevel="0" collapsed="false">
      <c r="A3" s="7" t="s">
        <v>76</v>
      </c>
      <c r="B3" s="7" t="s">
        <v>332</v>
      </c>
      <c r="C3" s="7" t="s">
        <v>333</v>
      </c>
      <c r="D3" s="7" t="s">
        <v>334</v>
      </c>
      <c r="E3" s="7" t="s">
        <v>335</v>
      </c>
      <c r="F3" s="7" t="s">
        <v>336</v>
      </c>
      <c r="G3" s="7" t="s">
        <v>337</v>
      </c>
      <c r="H3" s="7" t="s">
        <v>338</v>
      </c>
      <c r="I3" s="7" t="s">
        <v>339</v>
      </c>
    </row>
    <row r="4" customFormat="false" ht="105" hidden="false" customHeight="true" outlineLevel="0" collapsed="false">
      <c r="A4" s="3" t="s">
        <v>92</v>
      </c>
      <c r="B4" s="3" t="s">
        <v>340</v>
      </c>
      <c r="C4" s="3" t="s">
        <v>341</v>
      </c>
      <c r="D4" s="3" t="s">
        <v>342</v>
      </c>
      <c r="E4" s="3" t="s">
        <v>343</v>
      </c>
      <c r="F4" s="3" t="s">
        <v>344</v>
      </c>
      <c r="G4" s="3" t="s">
        <v>345</v>
      </c>
      <c r="H4" s="3" t="s">
        <v>346</v>
      </c>
      <c r="I4" s="3" t="s">
        <v>347</v>
      </c>
    </row>
    <row r="5" customFormat="false" ht="105" hidden="false" customHeight="true" outlineLevel="0" collapsed="false">
      <c r="A5" s="3" t="s">
        <v>348</v>
      </c>
      <c r="B5" s="3" t="s">
        <v>349</v>
      </c>
      <c r="C5" s="3" t="s">
        <v>350</v>
      </c>
      <c r="D5" s="3" t="s">
        <v>351</v>
      </c>
      <c r="E5" s="3" t="s">
        <v>352</v>
      </c>
      <c r="F5" s="3" t="s">
        <v>353</v>
      </c>
      <c r="G5" s="3" t="s">
        <v>354</v>
      </c>
      <c r="H5" s="3" t="s">
        <v>355</v>
      </c>
      <c r="I5" s="3" t="s">
        <v>356</v>
      </c>
    </row>
    <row r="6" customFormat="false" ht="105" hidden="false" customHeight="true" outlineLevel="0" collapsed="false">
      <c r="A6" s="3" t="s">
        <v>357</v>
      </c>
      <c r="B6" s="3" t="s">
        <v>358</v>
      </c>
      <c r="C6" s="3" t="s">
        <v>359</v>
      </c>
      <c r="D6" s="3" t="s">
        <v>360</v>
      </c>
      <c r="E6" s="3" t="s">
        <v>352</v>
      </c>
      <c r="F6" s="3" t="s">
        <v>361</v>
      </c>
      <c r="G6" s="3" t="s">
        <v>362</v>
      </c>
      <c r="H6" s="3" t="s">
        <v>124</v>
      </c>
      <c r="I6" s="3" t="s">
        <v>363</v>
      </c>
    </row>
    <row r="7" customFormat="false" ht="105" hidden="false" customHeight="true" outlineLevel="0" collapsed="false">
      <c r="A7" s="3" t="s">
        <v>364</v>
      </c>
      <c r="B7" s="3" t="s">
        <v>365</v>
      </c>
      <c r="C7" s="3" t="s">
        <v>366</v>
      </c>
      <c r="D7" s="3" t="s">
        <v>367</v>
      </c>
      <c r="E7" s="3" t="s">
        <v>368</v>
      </c>
      <c r="F7" s="3" t="s">
        <v>369</v>
      </c>
      <c r="G7" s="3" t="s">
        <v>370</v>
      </c>
      <c r="H7" s="3" t="s">
        <v>371</v>
      </c>
      <c r="I7" s="3" t="s">
        <v>372</v>
      </c>
    </row>
    <row r="8" customFormat="false" ht="105" hidden="false" customHeight="true" outlineLevel="0" collapsed="false">
      <c r="A8" s="3" t="s">
        <v>373</v>
      </c>
      <c r="B8" s="3" t="s">
        <v>374</v>
      </c>
      <c r="C8" s="3" t="s">
        <v>375</v>
      </c>
      <c r="D8" s="3" t="s">
        <v>376</v>
      </c>
      <c r="E8" s="3" t="s">
        <v>377</v>
      </c>
      <c r="F8" s="3" t="s">
        <v>378</v>
      </c>
      <c r="G8" s="3" t="s">
        <v>379</v>
      </c>
      <c r="H8" s="3" t="s">
        <v>355</v>
      </c>
      <c r="I8" s="3" t="s">
        <v>380</v>
      </c>
    </row>
    <row r="9" customFormat="false" ht="105" hidden="false" customHeight="true" outlineLevel="0" collapsed="false">
      <c r="A9" s="3" t="s">
        <v>381</v>
      </c>
      <c r="B9" s="3" t="s">
        <v>382</v>
      </c>
      <c r="C9" s="3" t="s">
        <v>383</v>
      </c>
      <c r="D9" s="3" t="s">
        <v>384</v>
      </c>
      <c r="E9" s="3" t="s">
        <v>385</v>
      </c>
      <c r="F9" s="3" t="s">
        <v>386</v>
      </c>
      <c r="G9" s="3" t="s">
        <v>387</v>
      </c>
      <c r="H9" s="3" t="s">
        <v>388</v>
      </c>
      <c r="I9" s="3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7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5" t="s">
        <v>390</v>
      </c>
    </row>
    <row r="2" customFormat="false" ht="15" hidden="false" customHeight="false" outlineLevel="0" collapsed="false">
      <c r="A2" s="6" t="s">
        <v>391</v>
      </c>
    </row>
    <row r="3" customFormat="false" ht="15" hidden="false" customHeight="false" outlineLevel="0" collapsed="false">
      <c r="A3" s="7" t="s">
        <v>392</v>
      </c>
      <c r="B3" s="7" t="s">
        <v>393</v>
      </c>
      <c r="C3" s="7" t="s">
        <v>394</v>
      </c>
      <c r="D3" s="7" t="s">
        <v>395</v>
      </c>
      <c r="E3" s="7" t="s">
        <v>396</v>
      </c>
      <c r="F3" s="7" t="s">
        <v>397</v>
      </c>
      <c r="G3" s="7" t="s">
        <v>398</v>
      </c>
      <c r="H3" s="7" t="s">
        <v>399</v>
      </c>
    </row>
    <row r="4" customFormat="false" ht="60" hidden="false" customHeight="true" outlineLevel="0" collapsed="false">
      <c r="A4" s="3" t="s">
        <v>400</v>
      </c>
      <c r="B4" s="3" t="s">
        <v>90</v>
      </c>
      <c r="C4" s="3" t="s">
        <v>401</v>
      </c>
      <c r="D4" s="3" t="s">
        <v>402</v>
      </c>
      <c r="E4" s="3" t="s">
        <v>403</v>
      </c>
      <c r="F4" s="3"/>
      <c r="G4" s="3" t="s">
        <v>404</v>
      </c>
      <c r="H4" s="3" t="s">
        <v>95</v>
      </c>
    </row>
    <row r="5" customFormat="false" ht="60" hidden="false" customHeight="true" outlineLevel="0" collapsed="false">
      <c r="A5" s="3" t="s">
        <v>99</v>
      </c>
      <c r="B5" s="3" t="s">
        <v>405</v>
      </c>
      <c r="C5" s="3" t="s">
        <v>406</v>
      </c>
      <c r="D5" s="3" t="s">
        <v>407</v>
      </c>
      <c r="E5" s="3" t="s">
        <v>408</v>
      </c>
      <c r="F5" s="3" t="s">
        <v>409</v>
      </c>
      <c r="G5" s="3" t="s">
        <v>410</v>
      </c>
      <c r="H5" s="3" t="s">
        <v>411</v>
      </c>
    </row>
    <row r="6" customFormat="false" ht="60" hidden="false" customHeight="true" outlineLevel="0" collapsed="false">
      <c r="A6" s="3" t="s">
        <v>412</v>
      </c>
      <c r="B6" s="3" t="s">
        <v>413</v>
      </c>
      <c r="C6" s="3" t="s">
        <v>414</v>
      </c>
      <c r="D6" s="3" t="s">
        <v>415</v>
      </c>
      <c r="E6" s="3" t="s">
        <v>416</v>
      </c>
      <c r="F6" s="3" t="s">
        <v>417</v>
      </c>
      <c r="G6" s="3" t="s">
        <v>418</v>
      </c>
      <c r="H6" s="3" t="s">
        <v>419</v>
      </c>
    </row>
    <row r="7" customFormat="false" ht="60" hidden="false" customHeight="true" outlineLevel="0" collapsed="false">
      <c r="A7" s="3" t="s">
        <v>420</v>
      </c>
      <c r="B7" s="3" t="s">
        <v>421</v>
      </c>
      <c r="C7" s="3" t="s">
        <v>422</v>
      </c>
      <c r="D7" s="3" t="s">
        <v>415</v>
      </c>
      <c r="E7" s="3" t="s">
        <v>416</v>
      </c>
      <c r="F7" s="3" t="s">
        <v>423</v>
      </c>
      <c r="G7" s="3" t="s">
        <v>424</v>
      </c>
      <c r="H7" s="3" t="s">
        <v>425</v>
      </c>
    </row>
    <row r="8" customFormat="false" ht="60" hidden="false" customHeight="true" outlineLevel="0" collapsed="false">
      <c r="A8" s="3" t="s">
        <v>426</v>
      </c>
      <c r="B8" s="3" t="s">
        <v>427</v>
      </c>
      <c r="C8" s="3" t="s">
        <v>414</v>
      </c>
      <c r="D8" s="3" t="s">
        <v>415</v>
      </c>
      <c r="E8" s="3" t="s">
        <v>416</v>
      </c>
      <c r="F8" s="3" t="s">
        <v>428</v>
      </c>
      <c r="G8" s="3" t="s">
        <v>429</v>
      </c>
      <c r="H8" s="3" t="s">
        <v>430</v>
      </c>
    </row>
    <row r="9" customFormat="false" ht="60" hidden="false" customHeight="true" outlineLevel="0" collapsed="false">
      <c r="A9" s="3" t="s">
        <v>431</v>
      </c>
      <c r="B9" s="3" t="s">
        <v>432</v>
      </c>
      <c r="C9" s="3" t="s">
        <v>433</v>
      </c>
      <c r="D9" s="3" t="s">
        <v>434</v>
      </c>
      <c r="E9" s="3" t="s">
        <v>435</v>
      </c>
      <c r="F9" s="3" t="s">
        <v>436</v>
      </c>
      <c r="G9" s="3" t="s">
        <v>437</v>
      </c>
      <c r="H9" s="3" t="s">
        <v>438</v>
      </c>
    </row>
    <row r="10" customFormat="false" ht="60" hidden="false" customHeight="true" outlineLevel="0" collapsed="false">
      <c r="A10" s="3" t="s">
        <v>439</v>
      </c>
      <c r="B10" s="3" t="s">
        <v>440</v>
      </c>
      <c r="C10" s="3" t="s">
        <v>441</v>
      </c>
      <c r="D10" s="3" t="s">
        <v>124</v>
      </c>
      <c r="E10" s="3" t="s">
        <v>442</v>
      </c>
      <c r="F10" s="3" t="s">
        <v>443</v>
      </c>
      <c r="G10" s="3" t="s">
        <v>444</v>
      </c>
      <c r="H10" s="3" t="s">
        <v>445</v>
      </c>
    </row>
    <row r="11" customFormat="false" ht="60" hidden="false" customHeight="true" outlineLevel="0" collapsed="false">
      <c r="A11" s="3" t="s">
        <v>446</v>
      </c>
      <c r="B11" s="3" t="s">
        <v>447</v>
      </c>
      <c r="C11" s="3" t="s">
        <v>414</v>
      </c>
      <c r="D11" s="3" t="s">
        <v>448</v>
      </c>
      <c r="E11" s="3" t="s">
        <v>416</v>
      </c>
      <c r="F11" s="3" t="s">
        <v>449</v>
      </c>
      <c r="G11" s="3" t="s">
        <v>450</v>
      </c>
      <c r="H11" s="3" t="s">
        <v>451</v>
      </c>
    </row>
    <row r="12" customFormat="false" ht="60" hidden="false" customHeight="true" outlineLevel="0" collapsed="false">
      <c r="A12" s="3" t="s">
        <v>153</v>
      </c>
      <c r="B12" s="3" t="s">
        <v>452</v>
      </c>
      <c r="C12" s="3" t="s">
        <v>453</v>
      </c>
      <c r="D12" s="3" t="s">
        <v>454</v>
      </c>
      <c r="E12" s="3" t="s">
        <v>455</v>
      </c>
      <c r="F12" s="3" t="s">
        <v>456</v>
      </c>
      <c r="G12" s="3" t="s">
        <v>457</v>
      </c>
      <c r="H12" s="3" t="s">
        <v>411</v>
      </c>
    </row>
    <row r="13" customFormat="false" ht="60" hidden="false" customHeight="true" outlineLevel="0" collapsed="false">
      <c r="A13" s="3" t="s">
        <v>232</v>
      </c>
      <c r="B13" s="3" t="s">
        <v>458</v>
      </c>
      <c r="C13" s="3" t="s">
        <v>338</v>
      </c>
      <c r="D13" s="3" t="s">
        <v>459</v>
      </c>
      <c r="E13" s="3" t="s">
        <v>460</v>
      </c>
      <c r="F13" s="3" t="s">
        <v>461</v>
      </c>
      <c r="G13" s="3" t="s">
        <v>462</v>
      </c>
      <c r="H13" s="3" t="s">
        <v>463</v>
      </c>
    </row>
    <row r="14" customFormat="false" ht="60" hidden="false" customHeight="true" outlineLevel="0" collapsed="false">
      <c r="A14" s="3" t="s">
        <v>464</v>
      </c>
      <c r="B14" s="3" t="s">
        <v>465</v>
      </c>
      <c r="C14" s="3" t="s">
        <v>414</v>
      </c>
      <c r="D14" s="3" t="s">
        <v>448</v>
      </c>
      <c r="E14" s="3" t="s">
        <v>416</v>
      </c>
      <c r="F14" s="3" t="s">
        <v>466</v>
      </c>
      <c r="G14" s="3" t="s">
        <v>467</v>
      </c>
      <c r="H14" s="3" t="s">
        <v>451</v>
      </c>
    </row>
    <row r="15" customFormat="false" ht="60" hidden="false" customHeight="true" outlineLevel="0" collapsed="false">
      <c r="A15" s="3" t="s">
        <v>468</v>
      </c>
      <c r="B15" s="3" t="s">
        <v>469</v>
      </c>
      <c r="C15" s="3" t="s">
        <v>338</v>
      </c>
      <c r="D15" s="3" t="s">
        <v>459</v>
      </c>
      <c r="E15" s="3" t="s">
        <v>470</v>
      </c>
      <c r="F15" s="3"/>
      <c r="G15" s="3" t="s">
        <v>471</v>
      </c>
      <c r="H15" s="3" t="s">
        <v>472</v>
      </c>
    </row>
    <row r="16" customFormat="false" ht="60" hidden="false" customHeight="true" outlineLevel="0" collapsed="false">
      <c r="A16" s="3" t="s">
        <v>473</v>
      </c>
      <c r="B16" s="3" t="s">
        <v>474</v>
      </c>
      <c r="C16" s="3" t="s">
        <v>338</v>
      </c>
      <c r="D16" s="3" t="s">
        <v>459</v>
      </c>
      <c r="E16" s="3" t="s">
        <v>475</v>
      </c>
      <c r="F16" s="3"/>
      <c r="G16" s="3"/>
      <c r="H16" s="3" t="s">
        <v>476</v>
      </c>
    </row>
    <row r="17" customFormat="false" ht="60" hidden="false" customHeight="true" outlineLevel="0" collapsed="false">
      <c r="A17" s="3" t="s">
        <v>477</v>
      </c>
      <c r="B17" s="3" t="s">
        <v>478</v>
      </c>
      <c r="C17" s="3" t="s">
        <v>479</v>
      </c>
      <c r="D17" s="3" t="s">
        <v>480</v>
      </c>
      <c r="E17" s="3" t="s">
        <v>481</v>
      </c>
      <c r="F17" s="3"/>
      <c r="G17" s="3" t="s">
        <v>482</v>
      </c>
      <c r="H17" s="3" t="s">
        <v>483</v>
      </c>
    </row>
    <row r="18" customFormat="false" ht="60" hidden="false" customHeight="true" outlineLevel="0" collapsed="false">
      <c r="A18" s="3" t="s">
        <v>484</v>
      </c>
      <c r="B18" s="3" t="s">
        <v>485</v>
      </c>
      <c r="C18" s="3" t="s">
        <v>479</v>
      </c>
      <c r="D18" s="3" t="s">
        <v>480</v>
      </c>
      <c r="E18" s="3" t="s">
        <v>481</v>
      </c>
      <c r="F18" s="3"/>
      <c r="G18" s="3" t="s">
        <v>486</v>
      </c>
      <c r="H18" s="3" t="s">
        <v>483</v>
      </c>
    </row>
    <row r="19" customFormat="false" ht="60" hidden="false" customHeight="true" outlineLevel="0" collapsed="false">
      <c r="A19" s="3" t="s">
        <v>487</v>
      </c>
      <c r="B19" s="3" t="s">
        <v>488</v>
      </c>
      <c r="C19" s="3" t="s">
        <v>479</v>
      </c>
      <c r="D19" s="3" t="s">
        <v>489</v>
      </c>
      <c r="E19" s="3" t="s">
        <v>490</v>
      </c>
      <c r="F19" s="3"/>
      <c r="G19" s="3" t="s">
        <v>491</v>
      </c>
      <c r="H19" s="3" t="s">
        <v>492</v>
      </c>
    </row>
    <row r="20" customFormat="false" ht="60" hidden="false" customHeight="true" outlineLevel="0" collapsed="false">
      <c r="A20" s="3" t="s">
        <v>493</v>
      </c>
      <c r="B20" s="3" t="s">
        <v>494</v>
      </c>
      <c r="C20" s="3" t="s">
        <v>479</v>
      </c>
      <c r="D20" s="3" t="s">
        <v>495</v>
      </c>
      <c r="E20" s="3" t="s">
        <v>490</v>
      </c>
      <c r="F20" s="3"/>
      <c r="G20" s="3" t="s">
        <v>496</v>
      </c>
      <c r="H20" s="3" t="s">
        <v>497</v>
      </c>
    </row>
    <row r="21" customFormat="false" ht="60" hidden="false" customHeight="true" outlineLevel="0" collapsed="false">
      <c r="A21" s="3" t="s">
        <v>498</v>
      </c>
      <c r="B21" s="3" t="s">
        <v>499</v>
      </c>
      <c r="C21" s="3" t="s">
        <v>500</v>
      </c>
      <c r="D21" s="3" t="s">
        <v>495</v>
      </c>
      <c r="E21" s="3" t="s">
        <v>495</v>
      </c>
      <c r="F21" s="3"/>
      <c r="G21" s="3" t="s">
        <v>501</v>
      </c>
      <c r="H21" s="3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5" t="s">
        <v>503</v>
      </c>
    </row>
    <row r="2" customFormat="false" ht="15" hidden="false" customHeight="false" outlineLevel="0" collapsed="false">
      <c r="A2" s="6" t="s">
        <v>504</v>
      </c>
    </row>
    <row r="3" customFormat="false" ht="15" hidden="false" customHeight="false" outlineLevel="0" collapsed="false">
      <c r="A3" s="7" t="s">
        <v>505</v>
      </c>
      <c r="B3" s="7" t="s">
        <v>506</v>
      </c>
      <c r="C3" s="7" t="s">
        <v>507</v>
      </c>
      <c r="D3" s="7" t="s">
        <v>508</v>
      </c>
      <c r="E3" s="7" t="s">
        <v>399</v>
      </c>
      <c r="F3" s="7" t="s">
        <v>509</v>
      </c>
    </row>
    <row r="4" customFormat="false" ht="15" hidden="false" customHeight="false" outlineLevel="0" collapsed="false">
      <c r="A4" s="11" t="n">
        <v>1</v>
      </c>
      <c r="B4" s="3" t="s">
        <v>510</v>
      </c>
      <c r="C4" s="3" t="s">
        <v>511</v>
      </c>
      <c r="D4" s="3" t="s">
        <v>512</v>
      </c>
      <c r="E4" s="40" t="s">
        <v>513</v>
      </c>
      <c r="F4" s="3"/>
    </row>
    <row r="5" customFormat="false" ht="23.85" hidden="false" customHeight="false" outlineLevel="0" collapsed="false">
      <c r="A5" s="11" t="n">
        <v>2</v>
      </c>
      <c r="B5" s="3" t="s">
        <v>510</v>
      </c>
      <c r="C5" s="3" t="s">
        <v>514</v>
      </c>
      <c r="D5" s="3" t="s">
        <v>515</v>
      </c>
      <c r="E5" s="40" t="s">
        <v>516</v>
      </c>
      <c r="F5" s="3" t="s">
        <v>517</v>
      </c>
    </row>
    <row r="6" customFormat="false" ht="15" hidden="false" customHeight="false" outlineLevel="0" collapsed="false">
      <c r="A6" s="11" t="n">
        <v>3</v>
      </c>
      <c r="B6" s="3" t="s">
        <v>510</v>
      </c>
      <c r="C6" s="3" t="s">
        <v>518</v>
      </c>
      <c r="D6" s="3" t="s">
        <v>519</v>
      </c>
      <c r="E6" s="40" t="s">
        <v>273</v>
      </c>
      <c r="F6" s="3" t="s">
        <v>520</v>
      </c>
    </row>
    <row r="7" customFormat="false" ht="15" hidden="false" customHeight="false" outlineLevel="0" collapsed="false">
      <c r="A7" s="11" t="n">
        <v>4</v>
      </c>
      <c r="B7" s="3" t="s">
        <v>510</v>
      </c>
      <c r="C7" s="3" t="s">
        <v>521</v>
      </c>
      <c r="D7" s="3" t="s">
        <v>519</v>
      </c>
      <c r="E7" s="40" t="s">
        <v>522</v>
      </c>
      <c r="F7" s="3" t="s">
        <v>523</v>
      </c>
    </row>
    <row r="8" customFormat="false" ht="23.85" hidden="false" customHeight="false" outlineLevel="0" collapsed="false">
      <c r="A8" s="11" t="n">
        <v>5</v>
      </c>
      <c r="B8" s="3" t="s">
        <v>510</v>
      </c>
      <c r="C8" s="3" t="s">
        <v>524</v>
      </c>
      <c r="D8" s="3" t="s">
        <v>525</v>
      </c>
      <c r="E8" s="40" t="s">
        <v>522</v>
      </c>
      <c r="F8" s="3" t="s">
        <v>526</v>
      </c>
    </row>
    <row r="9" customFormat="false" ht="15" hidden="false" customHeight="false" outlineLevel="0" collapsed="false">
      <c r="A9" s="11" t="n">
        <v>6</v>
      </c>
      <c r="B9" s="3" t="s">
        <v>527</v>
      </c>
      <c r="C9" s="3" t="s">
        <v>528</v>
      </c>
      <c r="D9" s="3" t="s">
        <v>529</v>
      </c>
      <c r="E9" s="40" t="s">
        <v>522</v>
      </c>
      <c r="F9" s="3" t="s">
        <v>530</v>
      </c>
    </row>
    <row r="10" customFormat="false" ht="15" hidden="false" customHeight="false" outlineLevel="0" collapsed="false">
      <c r="A10" s="11" t="n">
        <v>7</v>
      </c>
      <c r="B10" s="3" t="s">
        <v>527</v>
      </c>
      <c r="C10" s="3" t="s">
        <v>531</v>
      </c>
      <c r="D10" s="3" t="s">
        <v>377</v>
      </c>
      <c r="E10" s="40" t="s">
        <v>532</v>
      </c>
      <c r="F10" s="3"/>
    </row>
    <row r="11" customFormat="false" ht="23.85" hidden="false" customHeight="false" outlineLevel="0" collapsed="false">
      <c r="A11" s="11" t="n">
        <v>8</v>
      </c>
      <c r="B11" s="3" t="s">
        <v>527</v>
      </c>
      <c r="C11" s="3" t="s">
        <v>533</v>
      </c>
      <c r="D11" s="3" t="s">
        <v>534</v>
      </c>
      <c r="E11" s="40" t="s">
        <v>522</v>
      </c>
      <c r="F11" s="3" t="s">
        <v>535</v>
      </c>
    </row>
    <row r="12" customFormat="false" ht="15" hidden="false" customHeight="false" outlineLevel="0" collapsed="false">
      <c r="A12" s="11" t="n">
        <v>9</v>
      </c>
      <c r="B12" s="3" t="s">
        <v>527</v>
      </c>
      <c r="C12" s="3" t="s">
        <v>536</v>
      </c>
      <c r="D12" s="3" t="s">
        <v>537</v>
      </c>
      <c r="E12" s="40" t="s">
        <v>522</v>
      </c>
      <c r="F12" s="3" t="s">
        <v>538</v>
      </c>
    </row>
    <row r="13" customFormat="false" ht="15" hidden="false" customHeight="false" outlineLevel="0" collapsed="false">
      <c r="A13" s="11" t="n">
        <v>10</v>
      </c>
      <c r="B13" s="3" t="s">
        <v>527</v>
      </c>
      <c r="C13" s="3" t="s">
        <v>539</v>
      </c>
      <c r="D13" s="3" t="s">
        <v>540</v>
      </c>
      <c r="E13" s="40" t="s">
        <v>522</v>
      </c>
      <c r="F13" s="3" t="s">
        <v>541</v>
      </c>
    </row>
    <row r="14" customFormat="false" ht="15" hidden="false" customHeight="false" outlineLevel="0" collapsed="false">
      <c r="A14" s="11" t="n">
        <v>11</v>
      </c>
      <c r="B14" s="3" t="s">
        <v>527</v>
      </c>
      <c r="C14" s="3" t="s">
        <v>542</v>
      </c>
      <c r="D14" s="3" t="s">
        <v>540</v>
      </c>
      <c r="E14" s="40" t="s">
        <v>522</v>
      </c>
      <c r="F14" s="3" t="s">
        <v>543</v>
      </c>
    </row>
    <row r="15" customFormat="false" ht="15" hidden="false" customHeight="false" outlineLevel="0" collapsed="false">
      <c r="A15" s="11" t="n">
        <v>12</v>
      </c>
      <c r="B15" s="3" t="s">
        <v>527</v>
      </c>
      <c r="C15" s="3" t="s">
        <v>544</v>
      </c>
      <c r="D15" s="3" t="s">
        <v>534</v>
      </c>
      <c r="E15" s="40" t="s">
        <v>522</v>
      </c>
      <c r="F15" s="3"/>
    </row>
    <row r="16" customFormat="false" ht="23.85" hidden="false" customHeight="false" outlineLevel="0" collapsed="false">
      <c r="A16" s="11" t="n">
        <v>13</v>
      </c>
      <c r="B16" s="3" t="s">
        <v>545</v>
      </c>
      <c r="C16" s="3" t="s">
        <v>546</v>
      </c>
      <c r="D16" s="3" t="s">
        <v>377</v>
      </c>
      <c r="E16" s="40" t="s">
        <v>522</v>
      </c>
      <c r="F16" s="3" t="s">
        <v>547</v>
      </c>
    </row>
    <row r="17" customFormat="false" ht="15" hidden="false" customHeight="false" outlineLevel="0" collapsed="false">
      <c r="A17" s="11" t="n">
        <v>14</v>
      </c>
      <c r="B17" s="3" t="s">
        <v>545</v>
      </c>
      <c r="C17" s="3" t="s">
        <v>548</v>
      </c>
      <c r="D17" s="3" t="s">
        <v>515</v>
      </c>
      <c r="E17" s="40" t="s">
        <v>549</v>
      </c>
      <c r="F17" s="3" t="s">
        <v>550</v>
      </c>
    </row>
    <row r="18" customFormat="false" ht="15" hidden="false" customHeight="false" outlineLevel="0" collapsed="false">
      <c r="A18" s="11" t="n">
        <v>15</v>
      </c>
      <c r="B18" s="3" t="s">
        <v>545</v>
      </c>
      <c r="C18" s="3" t="s">
        <v>551</v>
      </c>
      <c r="D18" s="3" t="s">
        <v>519</v>
      </c>
      <c r="E18" s="40" t="s">
        <v>522</v>
      </c>
      <c r="F18" s="3" t="s">
        <v>552</v>
      </c>
    </row>
    <row r="19" customFormat="false" ht="23.85" hidden="false" customHeight="false" outlineLevel="0" collapsed="false">
      <c r="A19" s="11" t="n">
        <v>16</v>
      </c>
      <c r="B19" s="3" t="s">
        <v>545</v>
      </c>
      <c r="C19" s="3" t="s">
        <v>553</v>
      </c>
      <c r="D19" s="3" t="s">
        <v>554</v>
      </c>
      <c r="E19" s="40" t="s">
        <v>522</v>
      </c>
      <c r="F19" s="3" t="s">
        <v>555</v>
      </c>
    </row>
    <row r="20" customFormat="false" ht="15" hidden="false" customHeight="false" outlineLevel="0" collapsed="false">
      <c r="A20" s="11" t="n">
        <v>17</v>
      </c>
      <c r="B20" s="3" t="s">
        <v>556</v>
      </c>
      <c r="C20" s="3" t="s">
        <v>557</v>
      </c>
      <c r="D20" s="3" t="s">
        <v>519</v>
      </c>
      <c r="E20" s="40" t="s">
        <v>522</v>
      </c>
      <c r="F20" s="3"/>
    </row>
    <row r="21" customFormat="false" ht="23.85" hidden="false" customHeight="false" outlineLevel="0" collapsed="false">
      <c r="A21" s="11" t="n">
        <v>18</v>
      </c>
      <c r="B21" s="3" t="s">
        <v>556</v>
      </c>
      <c r="C21" s="3" t="s">
        <v>558</v>
      </c>
      <c r="D21" s="3" t="s">
        <v>559</v>
      </c>
      <c r="E21" s="40" t="s">
        <v>522</v>
      </c>
      <c r="F21" s="3" t="s">
        <v>560</v>
      </c>
    </row>
    <row r="22" customFormat="false" ht="15" hidden="false" customHeight="false" outlineLevel="0" collapsed="false">
      <c r="A22" s="11" t="n">
        <v>19</v>
      </c>
      <c r="B22" s="3" t="s">
        <v>561</v>
      </c>
      <c r="C22" s="3" t="s">
        <v>562</v>
      </c>
      <c r="D22" s="3" t="s">
        <v>563</v>
      </c>
      <c r="E22" s="40" t="s">
        <v>549</v>
      </c>
      <c r="F22" s="3" t="s">
        <v>564</v>
      </c>
    </row>
    <row r="23" customFormat="false" ht="15" hidden="false" customHeight="false" outlineLevel="0" collapsed="false">
      <c r="A23" s="11" t="n">
        <v>20</v>
      </c>
      <c r="B23" s="3" t="s">
        <v>561</v>
      </c>
      <c r="C23" s="3" t="s">
        <v>565</v>
      </c>
      <c r="D23" s="3" t="s">
        <v>515</v>
      </c>
      <c r="E23" s="40" t="s">
        <v>522</v>
      </c>
      <c r="F23" s="3"/>
    </row>
    <row r="24" customFormat="false" ht="15" hidden="false" customHeight="false" outlineLevel="0" collapsed="false">
      <c r="A24" s="11" t="n">
        <v>21</v>
      </c>
      <c r="B24" s="3" t="s">
        <v>561</v>
      </c>
      <c r="C24" s="3" t="s">
        <v>566</v>
      </c>
      <c r="D24" s="3" t="s">
        <v>567</v>
      </c>
      <c r="E24" s="40" t="s">
        <v>522</v>
      </c>
      <c r="F24" s="3"/>
    </row>
    <row r="25" customFormat="false" ht="15" hidden="false" customHeight="false" outlineLevel="0" collapsed="false">
      <c r="A25" s="11" t="n">
        <v>22</v>
      </c>
      <c r="B25" s="3" t="s">
        <v>561</v>
      </c>
      <c r="C25" s="3" t="s">
        <v>568</v>
      </c>
      <c r="D25" s="3" t="s">
        <v>567</v>
      </c>
      <c r="E25" s="40" t="s">
        <v>522</v>
      </c>
      <c r="F25" s="3"/>
    </row>
    <row r="26" customFormat="false" ht="15" hidden="false" customHeight="false" outlineLevel="0" collapsed="false">
      <c r="A26" s="11" t="n">
        <v>23</v>
      </c>
      <c r="B26" s="3" t="s">
        <v>561</v>
      </c>
      <c r="C26" s="3" t="s">
        <v>569</v>
      </c>
      <c r="D26" s="3" t="s">
        <v>567</v>
      </c>
      <c r="E26" s="40" t="s">
        <v>522</v>
      </c>
      <c r="F26" s="3"/>
    </row>
    <row r="27" customFormat="false" ht="15" hidden="false" customHeight="false" outlineLevel="0" collapsed="false">
      <c r="A27" s="11" t="n">
        <v>24</v>
      </c>
      <c r="B27" s="3" t="s">
        <v>570</v>
      </c>
      <c r="C27" s="3" t="s">
        <v>571</v>
      </c>
      <c r="D27" s="3" t="s">
        <v>519</v>
      </c>
      <c r="E27" s="40" t="s">
        <v>532</v>
      </c>
      <c r="F27" s="3" t="s">
        <v>572</v>
      </c>
    </row>
    <row r="28" customFormat="false" ht="15" hidden="false" customHeight="false" outlineLevel="0" collapsed="false">
      <c r="A28" s="11" t="n">
        <v>25</v>
      </c>
      <c r="B28" s="3" t="s">
        <v>570</v>
      </c>
      <c r="C28" s="3" t="s">
        <v>573</v>
      </c>
      <c r="D28" s="3" t="s">
        <v>519</v>
      </c>
      <c r="E28" s="40" t="s">
        <v>513</v>
      </c>
      <c r="F28" s="3"/>
    </row>
    <row r="29" customFormat="false" ht="15" hidden="false" customHeight="false" outlineLevel="0" collapsed="false">
      <c r="A29" s="11" t="n">
        <v>26</v>
      </c>
      <c r="B29" s="3" t="s">
        <v>570</v>
      </c>
      <c r="C29" s="3" t="s">
        <v>574</v>
      </c>
      <c r="D29" s="3" t="s">
        <v>377</v>
      </c>
      <c r="E29" s="40" t="s">
        <v>522</v>
      </c>
      <c r="F29" s="3"/>
    </row>
    <row r="30" customFormat="false" ht="15" hidden="false" customHeight="false" outlineLevel="0" collapsed="false">
      <c r="A30" s="11" t="n">
        <v>27</v>
      </c>
      <c r="B30" s="3" t="s">
        <v>570</v>
      </c>
      <c r="C30" s="3" t="s">
        <v>575</v>
      </c>
      <c r="D30" s="3" t="s">
        <v>576</v>
      </c>
      <c r="E30" s="40" t="s">
        <v>522</v>
      </c>
      <c r="F30" s="3"/>
    </row>
    <row r="31" customFormat="false" ht="15" hidden="false" customHeight="false" outlineLevel="0" collapsed="false">
      <c r="A31" s="11" t="n">
        <v>28</v>
      </c>
      <c r="B31" s="3" t="s">
        <v>570</v>
      </c>
      <c r="C31" s="3" t="s">
        <v>577</v>
      </c>
      <c r="D31" s="3" t="s">
        <v>578</v>
      </c>
      <c r="E31" s="40" t="s">
        <v>522</v>
      </c>
      <c r="F31" s="3" t="s">
        <v>579</v>
      </c>
    </row>
    <row r="32" customFormat="false" ht="15" hidden="false" customHeight="false" outlineLevel="0" collapsed="false">
      <c r="A32" s="11" t="n">
        <v>29</v>
      </c>
      <c r="B32" s="3" t="s">
        <v>570</v>
      </c>
      <c r="C32" s="3" t="s">
        <v>580</v>
      </c>
      <c r="D32" s="3" t="s">
        <v>525</v>
      </c>
      <c r="E32" s="40" t="s">
        <v>522</v>
      </c>
      <c r="F32" s="3"/>
    </row>
    <row r="33" customFormat="false" ht="23.85" hidden="false" customHeight="false" outlineLevel="0" collapsed="false">
      <c r="A33" s="11" t="n">
        <v>30</v>
      </c>
      <c r="B33" s="3" t="s">
        <v>581</v>
      </c>
      <c r="C33" s="3" t="s">
        <v>582</v>
      </c>
      <c r="D33" s="3" t="s">
        <v>377</v>
      </c>
      <c r="E33" s="40" t="s">
        <v>532</v>
      </c>
      <c r="F33" s="3" t="s">
        <v>583</v>
      </c>
    </row>
    <row r="34" customFormat="false" ht="23.85" hidden="false" customHeight="false" outlineLevel="0" collapsed="false">
      <c r="A34" s="11" t="n">
        <v>31</v>
      </c>
      <c r="B34" s="3" t="s">
        <v>581</v>
      </c>
      <c r="C34" s="3" t="s">
        <v>584</v>
      </c>
      <c r="D34" s="3" t="s">
        <v>377</v>
      </c>
      <c r="E34" s="40" t="s">
        <v>522</v>
      </c>
      <c r="F34" s="3" t="s">
        <v>585</v>
      </c>
    </row>
    <row r="35" customFormat="false" ht="23.85" hidden="false" customHeight="false" outlineLevel="0" collapsed="false">
      <c r="A35" s="11" t="n">
        <v>32</v>
      </c>
      <c r="B35" s="3" t="s">
        <v>581</v>
      </c>
      <c r="C35" s="3" t="s">
        <v>586</v>
      </c>
      <c r="D35" s="3" t="s">
        <v>587</v>
      </c>
      <c r="E35" s="40" t="s">
        <v>522</v>
      </c>
      <c r="F35" s="3"/>
    </row>
    <row r="36" customFormat="false" ht="15" hidden="false" customHeight="false" outlineLevel="0" collapsed="false">
      <c r="A36" s="11" t="n">
        <v>33</v>
      </c>
      <c r="B36" s="3" t="s">
        <v>581</v>
      </c>
      <c r="C36" s="3" t="s">
        <v>217</v>
      </c>
      <c r="D36" s="3" t="s">
        <v>377</v>
      </c>
      <c r="E36" s="40" t="s">
        <v>522</v>
      </c>
      <c r="F36" s="3" t="s">
        <v>588</v>
      </c>
    </row>
    <row r="37" customFormat="false" ht="15" hidden="false" customHeight="false" outlineLevel="0" collapsed="false">
      <c r="A37" s="11" t="n">
        <v>34</v>
      </c>
      <c r="B37" s="3" t="s">
        <v>589</v>
      </c>
      <c r="C37" s="3" t="s">
        <v>590</v>
      </c>
      <c r="D37" s="3" t="s">
        <v>377</v>
      </c>
      <c r="E37" s="40" t="s">
        <v>522</v>
      </c>
      <c r="F37" s="3" t="s">
        <v>591</v>
      </c>
    </row>
    <row r="38" customFormat="false" ht="15" hidden="false" customHeight="false" outlineLevel="0" collapsed="false">
      <c r="A38" s="11" t="n">
        <v>35</v>
      </c>
      <c r="B38" s="3" t="s">
        <v>589</v>
      </c>
      <c r="C38" s="3" t="s">
        <v>592</v>
      </c>
      <c r="D38" s="3" t="s">
        <v>377</v>
      </c>
      <c r="E38" s="40" t="s">
        <v>532</v>
      </c>
      <c r="F38" s="3" t="s">
        <v>593</v>
      </c>
    </row>
    <row r="39" customFormat="false" ht="15" hidden="false" customHeight="false" outlineLevel="0" collapsed="false">
      <c r="A39" s="11" t="n">
        <v>36</v>
      </c>
      <c r="B39" s="3" t="s">
        <v>589</v>
      </c>
      <c r="C39" s="3" t="s">
        <v>594</v>
      </c>
      <c r="D39" s="3" t="s">
        <v>377</v>
      </c>
      <c r="E39" s="40" t="s">
        <v>516</v>
      </c>
      <c r="F39" s="3" t="s">
        <v>595</v>
      </c>
    </row>
    <row r="40" customFormat="false" ht="15" hidden="false" customHeight="false" outlineLevel="0" collapsed="false">
      <c r="A40" s="11" t="n">
        <v>37</v>
      </c>
      <c r="B40" s="3" t="s">
        <v>589</v>
      </c>
      <c r="C40" s="3" t="s">
        <v>596</v>
      </c>
      <c r="D40" s="3" t="s">
        <v>377</v>
      </c>
      <c r="E40" s="40" t="s">
        <v>522</v>
      </c>
      <c r="F40" s="3"/>
    </row>
    <row r="42" customFormat="false" ht="15" hidden="false" customHeight="false" outlineLevel="0" collapsed="false">
      <c r="B42" s="23" t="s">
        <v>597</v>
      </c>
    </row>
    <row r="43" customFormat="false" ht="15" hidden="false" customHeight="false" outlineLevel="0" collapsed="false">
      <c r="B43" s="8" t="s">
        <v>598</v>
      </c>
      <c r="C43" s="11" t="n">
        <f aca="false">COUNTIF($E$4:$E$40,"Have*")</f>
        <v>8</v>
      </c>
    </row>
    <row r="44" customFormat="false" ht="15" hidden="false" customHeight="false" outlineLevel="0" collapsed="false">
      <c r="B44" s="8" t="s">
        <v>513</v>
      </c>
      <c r="C44" s="11" t="n">
        <f aca="false">COUNTIF($E$4:$E$40,"In progress")</f>
        <v>2</v>
      </c>
    </row>
    <row r="45" customFormat="false" ht="15" hidden="false" customHeight="false" outlineLevel="0" collapsed="false">
      <c r="B45" s="8" t="s">
        <v>522</v>
      </c>
      <c r="C45" s="11" t="n">
        <f aca="false">COUNTIF($E$4:$E$40,"Need")</f>
        <v>26</v>
      </c>
    </row>
    <row r="46" customFormat="false" ht="15" hidden="false" customHeight="false" outlineLevel="0" collapsed="false">
      <c r="B46" s="8" t="s">
        <v>273</v>
      </c>
      <c r="C46" s="11" t="n">
        <f aca="false">COUNTIF($E$4:$E$40,"Blocked")</f>
        <v>1</v>
      </c>
    </row>
  </sheetData>
  <dataValidations count="1">
    <dataValidation allowBlank="true" errorStyle="stop" operator="between" showDropDown="false" showErrorMessage="false" showInputMessage="false" sqref="E4:E40" type="list">
      <formula1>"Have,Have (draft),Have (v1),In progress,Need,Blocked"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2026-09-07T08:08:22Z</dcterms:created>
  <dc:creator>openpyxl</dc:creator>
  <dc:description/>
  <dc:language>en-US</dc:language>
  <cp:lastModifiedBy/>
  <dcterms:modified xsi:type="dcterms:W3CDTF">2026-09-07T08:08:23Z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